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orkspace\JEK2 - python koda\"/>
    </mc:Choice>
  </mc:AlternateContent>
  <xr:revisionPtr revIDLastSave="0" documentId="13_ncr:1_{712715D8-5758-40BA-BFC4-221E7A18DF81}" xr6:coauthVersionLast="47" xr6:coauthVersionMax="47" xr10:uidLastSave="{00000000-0000-0000-0000-000000000000}"/>
  <bookViews>
    <workbookView xWindow="1515" yWindow="1515" windowWidth="28800" windowHeight="15345" tabRatio="951" xr2:uid="{815ED57F-1867-4725-ABE3-F105611CD908}"/>
  </bookViews>
  <sheets>
    <sheet name="Življenska doba JEK2" sheetId="6" r:id="rId1"/>
    <sheet name="Inštalirana kapaciteta" sheetId="9" r:id="rId2"/>
    <sheet name="Capacity factor" sheetId="14" r:id="rId3"/>
    <sheet name="CAPEX" sheetId="2" r:id="rId4"/>
    <sheet name="WACC" sheetId="19" r:id="rId5"/>
    <sheet name="Stroški nadgradnje na 80 let" sheetId="20" r:id="rId6"/>
    <sheet name="O&amp;M" sheetId="31" r:id="rId7"/>
    <sheet name="Fuel cost" sheetId="4" r:id="rId8"/>
    <sheet name="Extraordinary repairs" sheetId="10" r:id="rId9"/>
    <sheet name="Stroški odpadkov" sheetId="32" r:id="rId10"/>
    <sheet name="Stroški razgradnje" sheetId="33" r:id="rId11"/>
    <sheet name="Nadomestilo občini in voda" sheetId="8" r:id="rId12"/>
    <sheet name="NPP accident insurance premium" sheetId="24" r:id="rId13"/>
    <sheet name="Tveganja" sheetId="12" r:id="rId14"/>
    <sheet name="Ostale postavke" sheetId="18" r:id="rId15"/>
    <sheet name="Cena elektrike" sheetId="16" r:id="rId16"/>
    <sheet name="Potrdila o izvoru" sheetId="17" r:id="rId17"/>
  </sheets>
  <externalReferences>
    <externalReference r:id="rId18"/>
    <externalReference r:id="rId19"/>
  </externalReferences>
  <definedNames>
    <definedName name="_______________________________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a1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a1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a1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a1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a3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a3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a3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a3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_Fill" hidden="1">[1]povp_BIFO_PE!#REF!</definedName>
    <definedName name="_Key1" hidden="1">[1]povp_BIFO_PE!#REF!</definedName>
    <definedName name="_Key2" hidden="1">[1]povp_BIFO_PE!#REF!</definedName>
    <definedName name="_Order1" hidden="1">255</definedName>
    <definedName name="_Order2" hidden="1">255</definedName>
    <definedName name="_Sort" hidden="1">[1]povp_BIFO_PE!$B$11:$EY$732</definedName>
    <definedName name="a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a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a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a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asdas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asdas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asdas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asdas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asdasdasd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asdasdasd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asdasdasd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asdasdasd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CenaSE">INDIRECT([2]OUTPUT_SIP!$AH$13)</definedName>
    <definedName name="dgs" localSheetId="6" hidden="1">{#N/A,#N/A,FALSE,"GSM-negov. stor. SIT";#N/A,#N/A,FALSE,"GSM negov. - indeksi";#N/A,#N/A,FALSE,"GSM-pregled SMS"}</definedName>
    <definedName name="dgs" localSheetId="9" hidden="1">{#N/A,#N/A,FALSE,"GSM-negov. stor. SIT";#N/A,#N/A,FALSE,"GSM negov. - indeksi";#N/A,#N/A,FALSE,"GSM-pregled SMS"}</definedName>
    <definedName name="dgs" localSheetId="10" hidden="1">{#N/A,#N/A,FALSE,"GSM-negov. stor. SIT";#N/A,#N/A,FALSE,"GSM negov. - indeksi";#N/A,#N/A,FALSE,"GSM-pregled SMS"}</definedName>
    <definedName name="dgs" hidden="1">{#N/A,#N/A,FALSE,"GSM-negov. stor. SIT";#N/A,#N/A,FALSE,"GSM negov. - indeksi";#N/A,#N/A,FALSE,"GSM-pregled SMS"}</definedName>
    <definedName name="EDV">INDIRECT([2]OUTPUT_SIP!$AH$8)</definedName>
    <definedName name="ffdfdf" localSheetId="6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ffdfdf" localSheetId="9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ffdfdf" localSheetId="10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ffdfdf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fff" localSheetId="6" hidden="1">{"v1",#N/A,FALSE,"financial information";"v2",#N/A,FALSE,"financial information";"v3",#N/A,FALSE,"financial information";"v4",#N/A,FALSE,"financial information";"v5",#N/A,FALSE,"financial information"}</definedName>
    <definedName name="fff" localSheetId="9" hidden="1">{"v1",#N/A,FALSE,"financial information";"v2",#N/A,FALSE,"financial information";"v3",#N/A,FALSE,"financial information";"v4",#N/A,FALSE,"financial information";"v5",#N/A,FALSE,"financial information"}</definedName>
    <definedName name="fff" localSheetId="10" hidden="1">{"v1",#N/A,FALSE,"financial information";"v2",#N/A,FALSE,"financial information";"v3",#N/A,FALSE,"financial information";"v4",#N/A,FALSE,"financial information";"v5",#N/A,FALSE,"financial information"}</definedName>
    <definedName name="fff" hidden="1">{"v1",#N/A,FALSE,"financial information";"v2",#N/A,FALSE,"financial information";"v3",#N/A,FALSE,"financial information";"v4",#N/A,FALSE,"financial information";"v5",#N/A,FALSE,"financial information"}</definedName>
    <definedName name="fghjk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fghjk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fghjk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fghjk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gg" hidden="1">[1]povp_BIFO_PE!$B$11:$FA$732</definedName>
    <definedName name="HTML_CodePage" hidden="1">1252</definedName>
    <definedName name="HTML_Control" localSheetId="6" hidden="1">{"'Sheet1'!$A$1:$H$145"}</definedName>
    <definedName name="HTML_Control" localSheetId="9" hidden="1">{"'Sheet1'!$A$1:$H$145"}</definedName>
    <definedName name="HTML_Control" localSheetId="10" hidden="1">{"'Sheet1'!$A$1:$H$145"}</definedName>
    <definedName name="HTML_Control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HD:HomePageStuff:New_Home_Page:datafile:ctryprem.html"</definedName>
    <definedName name="HTML_Title" hidden="1">"Country Risk Premiums"</definedName>
    <definedName name="ime" localSheetId="6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ime" localSheetId="9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ime" localSheetId="10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ime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inflacija">[2]parametri!$B$5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39500.4075694444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j" localSheetId="6" hidden="1">{"v1",#N/A,FALSE,"financial information";"v2",#N/A,FALSE,"financial information";"v3",#N/A,FALSE,"financial information";"v4",#N/A,FALSE,"financial information";"v5",#N/A,FALSE,"financial information"}</definedName>
    <definedName name="jj" localSheetId="9" hidden="1">{"v1",#N/A,FALSE,"financial information";"v2",#N/A,FALSE,"financial information";"v3",#N/A,FALSE,"financial information";"v4",#N/A,FALSE,"financial information";"v5",#N/A,FALSE,"financial information"}</definedName>
    <definedName name="jj" localSheetId="10" hidden="1">{"v1",#N/A,FALSE,"financial information";"v2",#N/A,FALSE,"financial information";"v3",#N/A,FALSE,"financial information";"v4",#N/A,FALSE,"financial information";"v5",#N/A,FALSE,"financial information"}</definedName>
    <definedName name="jj" hidden="1">{"v1",#N/A,FALSE,"financial information";"v2",#N/A,FALSE,"financial information";"v3",#N/A,FALSE,"financial information";"v4",#N/A,FALSE,"financial information";"v5",#N/A,FALSE,"financial information"}</definedName>
    <definedName name="jkčui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jkčui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jkčui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jkčui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jkćjl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jkćjl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jkćjl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jkćjl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jkljč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jkljč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jkljč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jkljč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jkljh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jkljh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jkljh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jkljh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klč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klč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klč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klč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klćkć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klćkć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klćkć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klćkć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LastnaRaba">INDIRECT([2]OUTPUT_SIP!$AH$10)</definedName>
    <definedName name="Mojca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Mojca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Mojca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Mojca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ok" hidden="1">[1]povp_BIFO_PE!#REF!</definedName>
    <definedName name="PowerSE">INDIRECT([2]OUTPUT_SIP!$AH$7)</definedName>
    <definedName name="PRILOGA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PRILOGA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PRILOGA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PRILOGA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ProizvodnjaSE">INDIRECT([2]OUTPUT_SIP!$AH$9)</definedName>
    <definedName name="PROJEKTI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PROJEKTI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PROJEKTI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PROJEKTI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RA" localSheetId="6" hidden="1">{#N/A,#N/A,FALSE,"IC MOBITEL &lt;==&gt; SIMOBIL"}</definedName>
    <definedName name="RA" localSheetId="9" hidden="1">{#N/A,#N/A,FALSE,"IC MOBITEL &lt;==&gt; SIMOBIL"}</definedName>
    <definedName name="RA" localSheetId="10" hidden="1">{#N/A,#N/A,FALSE,"IC MOBITEL &lt;==&gt; SIMOBIL"}</definedName>
    <definedName name="RA" hidden="1">{#N/A,#N/A,FALSE,"IC MOBITEL &lt;==&gt; SIMOBIL"}</definedName>
    <definedName name="saasdassaas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saasdassaas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saasdassaas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saasdassaas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Samooskrbnost">INDIRECT([2]OUTPUT_SIP!$AH$12)</definedName>
    <definedName name="SAPBEXrevision" hidden="1">3</definedName>
    <definedName name="SAPBEXsysID" hidden="1">"BW3"</definedName>
    <definedName name="SAPBEXwbID" hidden="1">"4O8N0CD2IFCF45IH28ZLP5NDM"</definedName>
    <definedName name="sdfaaa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sdfaaa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sdfaaa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sdfaaa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sdfs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sdfs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sdfs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sdfs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shfg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shfg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shfg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shfg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tzil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tzil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tzil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tzil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v" localSheetId="6" hidden="1">{#N/A,#N/A,FALSE,"Rezultat IC";#N/A,#N/A,FALSE,"Rezultat - indeksi"}</definedName>
    <definedName name="v" localSheetId="9" hidden="1">{#N/A,#N/A,FALSE,"Rezultat IC";#N/A,#N/A,FALSE,"Rezultat - indeksi"}</definedName>
    <definedName name="v" localSheetId="10" hidden="1">{#N/A,#N/A,FALSE,"Rezultat IC";#N/A,#N/A,FALSE,"Rezultat - indeksi"}</definedName>
    <definedName name="v" hidden="1">{#N/A,#N/A,FALSE,"Rezultat IC";#N/A,#N/A,FALSE,"Rezultat - indeksi"}</definedName>
    <definedName name="Viski">INDIRECT([2]OUTPUT_SIP!$AH$11)</definedName>
    <definedName name="wrn.1.poglavje.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wrn.1.poglavje.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wrn.1.poglavje.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wrn.1.poglavje.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indeksi"}</definedName>
    <definedName name="wrn.10.poglavje." localSheetId="6" hidden="1">{#N/A,#N/A,FALSE,"Rezultat IC";#N/A,#N/A,FALSE,"Rezultat - indeksi"}</definedName>
    <definedName name="wrn.10.poglavje." localSheetId="9" hidden="1">{#N/A,#N/A,FALSE,"Rezultat IC";#N/A,#N/A,FALSE,"Rezultat - indeksi"}</definedName>
    <definedName name="wrn.10.poglavje." localSheetId="10" hidden="1">{#N/A,#N/A,FALSE,"Rezultat IC";#N/A,#N/A,FALSE,"Rezultat - indeksi"}</definedName>
    <definedName name="wrn.10.poglavje." hidden="1">{#N/A,#N/A,FALSE,"Rezultat IC";#N/A,#N/A,FALSE,"Rezultat - indeksi"}</definedName>
    <definedName name="wrn.2.poglavje." localSheetId="6" hidden="1">{#N/A,#N/A,FALSE,"GSM-negov. stor. SIT";#N/A,#N/A,FALSE,"GSM negov. - indeksi";#N/A,#N/A,FALSE,"GSM-pregled SMS"}</definedName>
    <definedName name="wrn.2.poglavje." localSheetId="9" hidden="1">{#N/A,#N/A,FALSE,"GSM-negov. stor. SIT";#N/A,#N/A,FALSE,"GSM negov. - indeksi";#N/A,#N/A,FALSE,"GSM-pregled SMS"}</definedName>
    <definedName name="wrn.2.poglavje." localSheetId="10" hidden="1">{#N/A,#N/A,FALSE,"GSM-negov. stor. SIT";#N/A,#N/A,FALSE,"GSM negov. - indeksi";#N/A,#N/A,FALSE,"GSM-pregled SMS"}</definedName>
    <definedName name="wrn.2.poglavje." hidden="1">{#N/A,#N/A,FALSE,"GSM-negov. stor. SIT";#N/A,#N/A,FALSE,"GSM negov. - indeksi";#N/A,#N/A,FALSE,"GSM-pregled SMS"}</definedName>
    <definedName name="wrn.3.poglavje." localSheetId="6" hidden="1">{#N/A,#N/A,FALSE,"GSM - roaming"}</definedName>
    <definedName name="wrn.3.poglavje." localSheetId="9" hidden="1">{#N/A,#N/A,FALSE,"GSM - roaming"}</definedName>
    <definedName name="wrn.3.poglavje." localSheetId="10" hidden="1">{#N/A,#N/A,FALSE,"GSM - roaming"}</definedName>
    <definedName name="wrn.3.poglavje." hidden="1">{#N/A,#N/A,FALSE,"GSM - roaming"}</definedName>
    <definedName name="wrn.4.poglavje." localSheetId="6" hidden="1">{#N/A,#N/A,FALSE,"skupni NMT promet - min";#N/A,#N/A,FALSE,"skupni NMT promet - SIT";#N/A,#N/A,FALSE,"skupni NMT promet - indeksi";#N/A,#N/A,FALSE,"NMT naročniki - min";#N/A,#N/A,FALSE,"NMT naročniki - SIT";#N/A,#N/A,FALSE,"NMT visitorji - min";#N/A,#N/A,FALSE,"NMT visitorji - SIT";#N/A,#N/A,FALSE,"MF naročniki - min";#N/A,#N/A,FALSE,"NMT naročniki - roaming"}</definedName>
    <definedName name="wrn.4.poglavje." localSheetId="9" hidden="1">{#N/A,#N/A,FALSE,"skupni NMT promet - min";#N/A,#N/A,FALSE,"skupni NMT promet - SIT";#N/A,#N/A,FALSE,"skupni NMT promet - indeksi";#N/A,#N/A,FALSE,"NMT naročniki - min";#N/A,#N/A,FALSE,"NMT naročniki - SIT";#N/A,#N/A,FALSE,"NMT visitorji - min";#N/A,#N/A,FALSE,"NMT visitorji - SIT";#N/A,#N/A,FALSE,"MF naročniki - min";#N/A,#N/A,FALSE,"NMT naročniki - roaming"}</definedName>
    <definedName name="wrn.4.poglavje." localSheetId="10" hidden="1">{#N/A,#N/A,FALSE,"skupni NMT promet - min";#N/A,#N/A,FALSE,"skupni NMT promet - SIT";#N/A,#N/A,FALSE,"skupni NMT promet - indeksi";#N/A,#N/A,FALSE,"NMT naročniki - min";#N/A,#N/A,FALSE,"NMT naročniki - SIT";#N/A,#N/A,FALSE,"NMT visitorji - min";#N/A,#N/A,FALSE,"NMT visitorji - SIT";#N/A,#N/A,FALSE,"MF naročniki - min";#N/A,#N/A,FALSE,"NMT naročniki - roaming"}</definedName>
    <definedName name="wrn.4.poglavje." hidden="1">{#N/A,#N/A,FALSE,"skupni NMT promet - min";#N/A,#N/A,FALSE,"skupni NMT promet - SIT";#N/A,#N/A,FALSE,"skupni NMT promet - indeksi";#N/A,#N/A,FALSE,"NMT naročniki - min";#N/A,#N/A,FALSE,"NMT naročniki - SIT";#N/A,#N/A,FALSE,"NMT visitorji - min";#N/A,#N/A,FALSE,"NMT visitorji - SIT";#N/A,#N/A,FALSE,"MF naročniki - min";#N/A,#N/A,FALSE,"NMT naročniki - roaming"}</definedName>
    <definedName name="wrn.5.poglavje." localSheetId="6" hidden="1">{#N/A,#N/A,FALSE,"NMT - negovorne storitve"}</definedName>
    <definedName name="wrn.5.poglavje." localSheetId="9" hidden="1">{#N/A,#N/A,FALSE,"NMT - negovorne storitve"}</definedName>
    <definedName name="wrn.5.poglavje." localSheetId="10" hidden="1">{#N/A,#N/A,FALSE,"NMT - negovorne storitve"}</definedName>
    <definedName name="wrn.5.poglavje." hidden="1">{#N/A,#N/A,FALSE,"NMT - negovorne storitve"}</definedName>
    <definedName name="wrn.6.poglavje." localSheetId="6" hidden="1">{#N/A,#N/A,FALSE,"IC MOBITEL&lt;==&gt;TELEKOM";#N/A,#N/A,FALSE,"IC MOBITEL&lt;=&gt;TLK - primerjava  ";"IC MOB TLK plan",#N/A,FALSE,"IC MOBITEL &lt;==&gt;TELEKOM - plan"}</definedName>
    <definedName name="wrn.6.poglavje." localSheetId="9" hidden="1">{#N/A,#N/A,FALSE,"IC MOBITEL&lt;==&gt;TELEKOM";#N/A,#N/A,FALSE,"IC MOBITEL&lt;=&gt;TLK - primerjava  ";"IC MOB TLK plan",#N/A,FALSE,"IC MOBITEL &lt;==&gt;TELEKOM - plan"}</definedName>
    <definedName name="wrn.6.poglavje." localSheetId="10" hidden="1">{#N/A,#N/A,FALSE,"IC MOBITEL&lt;==&gt;TELEKOM";#N/A,#N/A,FALSE,"IC MOBITEL&lt;=&gt;TLK - primerjava  ";"IC MOB TLK plan",#N/A,FALSE,"IC MOBITEL &lt;==&gt;TELEKOM - plan"}</definedName>
    <definedName name="wrn.6.poglavje." hidden="1">{#N/A,#N/A,FALSE,"IC MOBITEL&lt;==&gt;TELEKOM";#N/A,#N/A,FALSE,"IC MOBITEL&lt;=&gt;TLK - primerjava  ";"IC MOB TLK plan",#N/A,FALSE,"IC MOBITEL &lt;==&gt;TELEKOM - plan"}</definedName>
    <definedName name="wrn.7.poglavje." localSheetId="6" hidden="1">{#N/A,#N/A,FALSE,"IC MOBITEL &lt;==&gt; SIMOBIL"}</definedName>
    <definedName name="wrn.7.poglavje." localSheetId="9" hidden="1">{#N/A,#N/A,FALSE,"IC MOBITEL &lt;==&gt; SIMOBIL"}</definedName>
    <definedName name="wrn.7.poglavje." localSheetId="10" hidden="1">{#N/A,#N/A,FALSE,"IC MOBITEL &lt;==&gt; SIMOBIL"}</definedName>
    <definedName name="wrn.7.poglavje." hidden="1">{#N/A,#N/A,FALSE,"IC MOBITEL &lt;==&gt; SIMOBIL"}</definedName>
    <definedName name="wrn.8.poglavje." localSheetId="6" hidden="1">{#N/A,#N/A,FALSE,"IC MOBITEL&lt;==&gt;WWI"}</definedName>
    <definedName name="wrn.8.poglavje." localSheetId="9" hidden="1">{#N/A,#N/A,FALSE,"IC MOBITEL&lt;==&gt;WWI"}</definedName>
    <definedName name="wrn.8.poglavje." localSheetId="10" hidden="1">{#N/A,#N/A,FALSE,"IC MOBITEL&lt;==&gt;WWI"}</definedName>
    <definedName name="wrn.8.poglavje." hidden="1">{#N/A,#N/A,FALSE,"IC MOBITEL&lt;==&gt;WWI"}</definedName>
    <definedName name="wrn.9.poglavje." localSheetId="6" hidden="1">{#N/A,#N/A,FALSE,"Nacionalni roaming WWI"}</definedName>
    <definedName name="wrn.9.poglavje." localSheetId="9" hidden="1">{#N/A,#N/A,FALSE,"Nacionalni roaming WWI"}</definedName>
    <definedName name="wrn.9.poglavje." localSheetId="10" hidden="1">{#N/A,#N/A,FALSE,"Nacionalni roaming WWI"}</definedName>
    <definedName name="wrn.9.poglavje." hidden="1">{#N/A,#N/A,FALSE,"Nacionalni roaming WWI"}</definedName>
    <definedName name="wrn.Bukva." localSheetId="6" hidden="1">{#N/A,#N/A,FALSE,"IC MOBITEL&lt;==&gt;TELEKOM";#N/A,#N/A,FALSE,"IC MOBITEL&lt;=&gt;TLK - primerjava  ";#N/A,#N/A,FALSE,"IC MOBITEL &lt;==&gt;TELEKOM - plan";#N/A,#N/A,FALSE,"IC MOBITEL &lt;==&gt; SIMOBIL";#N/A,#N/A,FALSE,"IC MOBITEL&lt;=&gt;SIM - primerjava";#N/A,#N/A,FALSE,"IC MOBITEL&lt;==&gt;SIMOBIL - plan";#N/A,#N/A,FALSE,"IC MOBITEL&lt;==&gt;WWI";#N/A,#N/A,FALSE,"IC MOBITEL&lt;=&gt;WWI - primerjava";#N/A,#N/A,FALSE,"IC MOBITEL&lt;==&gt;WWI - plan";#N/A,#N/A,FALSE,"Nacionalni roaming WWI";#N/A,#N/A,FALSE,"Rezultat IC"}</definedName>
    <definedName name="wrn.Bukva." localSheetId="9" hidden="1">{#N/A,#N/A,FALSE,"IC MOBITEL&lt;==&gt;TELEKOM";#N/A,#N/A,FALSE,"IC MOBITEL&lt;=&gt;TLK - primerjava  ";#N/A,#N/A,FALSE,"IC MOBITEL &lt;==&gt;TELEKOM - plan";#N/A,#N/A,FALSE,"IC MOBITEL &lt;==&gt; SIMOBIL";#N/A,#N/A,FALSE,"IC MOBITEL&lt;=&gt;SIM - primerjava";#N/A,#N/A,FALSE,"IC MOBITEL&lt;==&gt;SIMOBIL - plan";#N/A,#N/A,FALSE,"IC MOBITEL&lt;==&gt;WWI";#N/A,#N/A,FALSE,"IC MOBITEL&lt;=&gt;WWI - primerjava";#N/A,#N/A,FALSE,"IC MOBITEL&lt;==&gt;WWI - plan";#N/A,#N/A,FALSE,"Nacionalni roaming WWI";#N/A,#N/A,FALSE,"Rezultat IC"}</definedName>
    <definedName name="wrn.Bukva." localSheetId="10" hidden="1">{#N/A,#N/A,FALSE,"IC MOBITEL&lt;==&gt;TELEKOM";#N/A,#N/A,FALSE,"IC MOBITEL&lt;=&gt;TLK - primerjava  ";#N/A,#N/A,FALSE,"IC MOBITEL &lt;==&gt;TELEKOM - plan";#N/A,#N/A,FALSE,"IC MOBITEL &lt;==&gt; SIMOBIL";#N/A,#N/A,FALSE,"IC MOBITEL&lt;=&gt;SIM - primerjava";#N/A,#N/A,FALSE,"IC MOBITEL&lt;==&gt;SIMOBIL - plan";#N/A,#N/A,FALSE,"IC MOBITEL&lt;==&gt;WWI";#N/A,#N/A,FALSE,"IC MOBITEL&lt;=&gt;WWI - primerjava";#N/A,#N/A,FALSE,"IC MOBITEL&lt;==&gt;WWI - plan";#N/A,#N/A,FALSE,"Nacionalni roaming WWI";#N/A,#N/A,FALSE,"Rezultat IC"}</definedName>
    <definedName name="wrn.Bukva." hidden="1">{#N/A,#N/A,FALSE,"IC MOBITEL&lt;==&gt;TELEKOM";#N/A,#N/A,FALSE,"IC MOBITEL&lt;=&gt;TLK - primerjava  ";#N/A,#N/A,FALSE,"IC MOBITEL &lt;==&gt;TELEKOM - plan";#N/A,#N/A,FALSE,"IC MOBITEL &lt;==&gt; SIMOBIL";#N/A,#N/A,FALSE,"IC MOBITEL&lt;=&gt;SIM - primerjava";#N/A,#N/A,FALSE,"IC MOBITEL&lt;==&gt;SIMOBIL - plan";#N/A,#N/A,FALSE,"IC MOBITEL&lt;==&gt;WWI";#N/A,#N/A,FALSE,"IC MOBITEL&lt;=&gt;WWI - primerjava";#N/A,#N/A,FALSE,"IC MOBITEL&lt;==&gt;WWI - plan";#N/A,#N/A,FALSE,"Nacionalni roaming WWI";#N/A,#N/A,FALSE,"Rezultat IC"}</definedName>
    <definedName name="wrn.Bukva1." localSheetId="6" hidden="1">{#N/A,#N/A,FALSE,"GSM naročniki - min";#N/A,#N/A,FALSE,"skupni GSM promet - min";#N/A,#N/A,FALSE,"skupni GSM promet - SIT";#N/A,#N/A,FALSE,"GSM naročniki - SIT"}</definedName>
    <definedName name="wrn.Bukva1." localSheetId="9" hidden="1">{#N/A,#N/A,FALSE,"GSM naročniki - min";#N/A,#N/A,FALSE,"skupni GSM promet - min";#N/A,#N/A,FALSE,"skupni GSM promet - SIT";#N/A,#N/A,FALSE,"GSM naročniki - SIT"}</definedName>
    <definedName name="wrn.Bukva1." localSheetId="10" hidden="1">{#N/A,#N/A,FALSE,"GSM naročniki - min";#N/A,#N/A,FALSE,"skupni GSM promet - min";#N/A,#N/A,FALSE,"skupni GSM promet - SIT";#N/A,#N/A,FALSE,"GSM naročniki - SIT"}</definedName>
    <definedName name="wrn.Bukva1." hidden="1">{#N/A,#N/A,FALSE,"GSM naročniki - min";#N/A,#N/A,FALSE,"skupni GSM promet - min";#N/A,#N/A,FALSE,"skupni GSM promet - SIT";#N/A,#N/A,FALSE,"GSM naročniki - SIT"}</definedName>
    <definedName name="wrn.CelZvezek." localSheetId="6" hidden="1">{#N/A,#N/A,TRUE,"Kazalo";#N/A,#N/A,TRUE,"odhod in dohod";#N/A,#N/A,TRUE,"cene odhod";#N/A,#N/A,TRUE,"cene dohod";#N/A,#N/A,TRUE,"minute odhod";#N/A,#N/A,TRUE,"minute dohod";#N/A,#N/A,TRUE,"zneski odhod";#N/A,#N/A,TRUE,"zneski dohod";#N/A,#N/A,TRUE,"grafi odhod";#N/A,#N/A,TRUE,"grafi dohod";#N/A,#N/A,TRUE,"odhod min t, cenik t+1";#N/A,#N/A,TRUE,"dohod min t,  cenik t+1 ";#N/A,#N/A,TRUE,"Vpliv novega cenika";#N/A,#N/A,TRUE,"IC cene in cene za stranke"}</definedName>
    <definedName name="wrn.CelZvezek." localSheetId="9" hidden="1">{#N/A,#N/A,TRUE,"Kazalo";#N/A,#N/A,TRUE,"odhod in dohod";#N/A,#N/A,TRUE,"cene odhod";#N/A,#N/A,TRUE,"cene dohod";#N/A,#N/A,TRUE,"minute odhod";#N/A,#N/A,TRUE,"minute dohod";#N/A,#N/A,TRUE,"zneski odhod";#N/A,#N/A,TRUE,"zneski dohod";#N/A,#N/A,TRUE,"grafi odhod";#N/A,#N/A,TRUE,"grafi dohod";#N/A,#N/A,TRUE,"odhod min t, cenik t+1";#N/A,#N/A,TRUE,"dohod min t,  cenik t+1 ";#N/A,#N/A,TRUE,"Vpliv novega cenika";#N/A,#N/A,TRUE,"IC cene in cene za stranke"}</definedName>
    <definedName name="wrn.CelZvezek." localSheetId="10" hidden="1">{#N/A,#N/A,TRUE,"Kazalo";#N/A,#N/A,TRUE,"odhod in dohod";#N/A,#N/A,TRUE,"cene odhod";#N/A,#N/A,TRUE,"cene dohod";#N/A,#N/A,TRUE,"minute odhod";#N/A,#N/A,TRUE,"minute dohod";#N/A,#N/A,TRUE,"zneski odhod";#N/A,#N/A,TRUE,"zneski dohod";#N/A,#N/A,TRUE,"grafi odhod";#N/A,#N/A,TRUE,"grafi dohod";#N/A,#N/A,TRUE,"odhod min t, cenik t+1";#N/A,#N/A,TRUE,"dohod min t,  cenik t+1 ";#N/A,#N/A,TRUE,"Vpliv novega cenika";#N/A,#N/A,TRUE,"IC cene in cene za stranke"}</definedName>
    <definedName name="wrn.CelZvezek." hidden="1">{#N/A,#N/A,TRUE,"Kazalo";#N/A,#N/A,TRUE,"odhod in dohod";#N/A,#N/A,TRUE,"cene odhod";#N/A,#N/A,TRUE,"cene dohod";#N/A,#N/A,TRUE,"minute odhod";#N/A,#N/A,TRUE,"minute dohod";#N/A,#N/A,TRUE,"zneski odhod";#N/A,#N/A,TRUE,"zneski dohod";#N/A,#N/A,TRUE,"grafi odhod";#N/A,#N/A,TRUE,"grafi dohod";#N/A,#N/A,TRUE,"odhod min t, cenik t+1";#N/A,#N/A,TRUE,"dohod min t,  cenik t+1 ";#N/A,#N/A,TRUE,"Vpliv novega cenika";#N/A,#N/A,TRUE,"IC cene in cene za stranke"}</definedName>
    <definedName name="wrn.enyém." localSheetId="6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rn.enyém." localSheetId="9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rn.enyém." localSheetId="10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rn.enyém." hidden="1">{#N/A,#N/A,FALSE,"content";#N/A,#N/A,FALSE,"summary";#N/A,#N/A,FALSE,"historicBS";#N/A,#N/A,FALSE,"historicIS";#N/A,#N/A,FALSE,"historicCF";#N/A,#N/A,FALSE,"ratios";#N/A,#N/A,FALSE,"ForecastIS";#N/A,#N/A,FALSE,"DCF-WACC";#N/A,#N/A,FALSE,"DCF-CAPM";#N/A,#N/A,FALSE,"debt";#N/A,#N/A,FALSE,"depreciation";#N/A,#N/A,FALSE,"wacc";"view_a",#N/A,FALSE,"GLC";"view_b",#N/A,FALSE,"GLC";"view_c",#N/A,FALSE,"GLC";"view_d",#N/A,FALSE,"GLC";"view_e",#N/A,FALSE,"GLC";#N/A,#N/A,FALSE,"riskfree";#N/A,#N/A,FALSE,"glcapproach";#N/A,#N/A,FALSE,"control";#N/A,#N/A,FALSE,"marketibility";#N/A,#N/A,FALSE,"rev";#N/A,#N/A,FALSE,"customers";#N/A,#N/A,FALSE,"suppliers";#N/A,#N/A,FALSE,"own.str.";"view_a",#N/A,FALSE,"season";"view_b",#N/A,FALSE,"season"}</definedName>
    <definedName name="wrn.IC._.statistika." localSheetId="6" hidden="1">{#N/A,#N/A,FALSE,"spremni MOB-TLK";#N/A,#N/A,FALSE,"IC MOBITEL&lt;==&gt;TELEKOM";#N/A,#N/A,FALSE,"mednarodni promet - top 10";#N/A,#N/A,FALSE,"IC MOBITEL&lt;=&gt;TLK - primerjava  ";#N/A,#N/A,FALSE,"IC MOBITEL &lt;==&gt;TELEKOM - plan";#N/A,#N/A,FALSE,"spremni MOB-SIM";#N/A,#N/A,FALSE,"IC MOBITEL &lt;==&gt; SIMOBIL";#N/A,#N/A,FALSE,"IC MOBITEL&lt;=&gt;SIM - primerjava";#N/A,#N/A,FALSE,"IC MOBITEL&lt;==&gt;SIMOBIL - plan";#N/A,#N/A,FALSE,"spremni MOB-WWI";#N/A,#N/A,FALSE,"IC MOBITEL&lt;==&gt;WWI";#N/A,#N/A,FALSE,"IC MOBITEL&lt;=&gt;WWI - primerjava";#N/A,#N/A,FALSE,"IC MOBITEL&lt;==&gt;WWI - plan";#N/A,#N/A,FALSE,"spremni IC saldo";#N/A,#N/A,FALSE,"SALDO IC";#N/A,#N/A,FALSE,"spremni NR WWI";#N/A,#N/A,FALSE,"Nacionalni roaming WWI";#N/A,#N/A,FALSE,"Nacionalni roaming WWI - plan";#N/A,#N/A,FALSE,"spremni poslovanje";#N/A,#N/A,FALSE,"Povzetek poslovanja"}</definedName>
    <definedName name="wrn.IC._.statistika." localSheetId="9" hidden="1">{#N/A,#N/A,FALSE,"spremni MOB-TLK";#N/A,#N/A,FALSE,"IC MOBITEL&lt;==&gt;TELEKOM";#N/A,#N/A,FALSE,"mednarodni promet - top 10";#N/A,#N/A,FALSE,"IC MOBITEL&lt;=&gt;TLK - primerjava  ";#N/A,#N/A,FALSE,"IC MOBITEL &lt;==&gt;TELEKOM - plan";#N/A,#N/A,FALSE,"spremni MOB-SIM";#N/A,#N/A,FALSE,"IC MOBITEL &lt;==&gt; SIMOBIL";#N/A,#N/A,FALSE,"IC MOBITEL&lt;=&gt;SIM - primerjava";#N/A,#N/A,FALSE,"IC MOBITEL&lt;==&gt;SIMOBIL - plan";#N/A,#N/A,FALSE,"spremni MOB-WWI";#N/A,#N/A,FALSE,"IC MOBITEL&lt;==&gt;WWI";#N/A,#N/A,FALSE,"IC MOBITEL&lt;=&gt;WWI - primerjava";#N/A,#N/A,FALSE,"IC MOBITEL&lt;==&gt;WWI - plan";#N/A,#N/A,FALSE,"spremni IC saldo";#N/A,#N/A,FALSE,"SALDO IC";#N/A,#N/A,FALSE,"spremni NR WWI";#N/A,#N/A,FALSE,"Nacionalni roaming WWI";#N/A,#N/A,FALSE,"Nacionalni roaming WWI - plan";#N/A,#N/A,FALSE,"spremni poslovanje";#N/A,#N/A,FALSE,"Povzetek poslovanja"}</definedName>
    <definedName name="wrn.IC._.statistika." localSheetId="10" hidden="1">{#N/A,#N/A,FALSE,"spremni MOB-TLK";#N/A,#N/A,FALSE,"IC MOBITEL&lt;==&gt;TELEKOM";#N/A,#N/A,FALSE,"mednarodni promet - top 10";#N/A,#N/A,FALSE,"IC MOBITEL&lt;=&gt;TLK - primerjava  ";#N/A,#N/A,FALSE,"IC MOBITEL &lt;==&gt;TELEKOM - plan";#N/A,#N/A,FALSE,"spremni MOB-SIM";#N/A,#N/A,FALSE,"IC MOBITEL &lt;==&gt; SIMOBIL";#N/A,#N/A,FALSE,"IC MOBITEL&lt;=&gt;SIM - primerjava";#N/A,#N/A,FALSE,"IC MOBITEL&lt;==&gt;SIMOBIL - plan";#N/A,#N/A,FALSE,"spremni MOB-WWI";#N/A,#N/A,FALSE,"IC MOBITEL&lt;==&gt;WWI";#N/A,#N/A,FALSE,"IC MOBITEL&lt;=&gt;WWI - primerjava";#N/A,#N/A,FALSE,"IC MOBITEL&lt;==&gt;WWI - plan";#N/A,#N/A,FALSE,"spremni IC saldo";#N/A,#N/A,FALSE,"SALDO IC";#N/A,#N/A,FALSE,"spremni NR WWI";#N/A,#N/A,FALSE,"Nacionalni roaming WWI";#N/A,#N/A,FALSE,"Nacionalni roaming WWI - plan";#N/A,#N/A,FALSE,"spremni poslovanje";#N/A,#N/A,FALSE,"Povzetek poslovanja"}</definedName>
    <definedName name="wrn.IC._.statistika." hidden="1">{#N/A,#N/A,FALSE,"spremni MOB-TLK";#N/A,#N/A,FALSE,"IC MOBITEL&lt;==&gt;TELEKOM";#N/A,#N/A,FALSE,"mednarodni promet - top 10";#N/A,#N/A,FALSE,"IC MOBITEL&lt;=&gt;TLK - primerjava  ";#N/A,#N/A,FALSE,"IC MOBITEL &lt;==&gt;TELEKOM - plan";#N/A,#N/A,FALSE,"spremni MOB-SIM";#N/A,#N/A,FALSE,"IC MOBITEL &lt;==&gt; SIMOBIL";#N/A,#N/A,FALSE,"IC MOBITEL&lt;=&gt;SIM - primerjava";#N/A,#N/A,FALSE,"IC MOBITEL&lt;==&gt;SIMOBIL - plan";#N/A,#N/A,FALSE,"spremni MOB-WWI";#N/A,#N/A,FALSE,"IC MOBITEL&lt;==&gt;WWI";#N/A,#N/A,FALSE,"IC MOBITEL&lt;=&gt;WWI - primerjava";#N/A,#N/A,FALSE,"IC MOBITEL&lt;==&gt;WWI - plan";#N/A,#N/A,FALSE,"spremni IC saldo";#N/A,#N/A,FALSE,"SALDO IC";#N/A,#N/A,FALSE,"spremni NR WWI";#N/A,#N/A,FALSE,"Nacionalni roaming WWI";#N/A,#N/A,FALSE,"Nacionalni roaming WWI - plan";#N/A,#N/A,FALSE,"spremni poslovanje";#N/A,#N/A,FALSE,"Povzetek poslovanja"}</definedName>
    <definedName name="wrn.mesečno._.poročilo." localSheetId="6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indeksi";#N/A,#N/A,FALSE,"GSM-negov. stor. SIT";#N/A,#N/A,FALSE,"GSM negov. - indeksi";#N/A,#N/A,FALSE,"GSM-pregled SMS";#N/A,#N/A,FALSE,"GSM - roaming";#N/A,#N/A,FALSE,"skupni NMT promet - min";#N/A,#N/A,FALSE,"skupni NMT promet - SIT";#N/A,#N/A,FALSE,"skupni NMT promet - indeksi";#N/A,#N/A,FALSE,"NMT naročniki - min";#N/A,#N/A,FALSE,"NMT naročniki - SIT";#N/A,#N/A,FALSE,"NMT visitorji - min";#N/A,#N/A,FALSE,"NMT visitorji - SIT";#N/A,#N/A,FALSE,"MF naročniki - min";#N/A,#N/A,FALSE,"NMT naročniki - roaming";#N/A,#N/A,FALSE,"NMT - negovorne storitve";#N/A,#N/A,FALSE,"IC MOBITEL&lt;==&gt;TELEKOM";#N/A,#N/A,FALSE,"IC MOBITEL&lt;=&gt;TLK - primerjava  ";"IC MOB TLK plan",#N/A,FALSE,"IC MOBITEL &lt;==&gt;TELEKOM - plan";#N/A,#N/A,FALSE,"IC MOBITEL &lt;==&gt; SIMOBIL";#N/A,#N/A,FALSE,"priloga k primerjavi MOB-SIM";#N/A,#N/A,FALSE,"IC MOBITEL&lt;==&gt;WWI";#N/A,#N/A,FALSE,"priloga k primerjavi MOB-WWI";#N/A,#N/A,FALSE,"Nacionalni roaming WWI";#N/A,#N/A,FALSE,"Rezultat IC";#N/A,#N/A,FALSE,"Rezultat - indeksi"}</definedName>
    <definedName name="wrn.mesečno._.poročilo." localSheetId="9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indeksi";#N/A,#N/A,FALSE,"GSM-negov. stor. SIT";#N/A,#N/A,FALSE,"GSM negov. - indeksi";#N/A,#N/A,FALSE,"GSM-pregled SMS";#N/A,#N/A,FALSE,"GSM - roaming";#N/A,#N/A,FALSE,"skupni NMT promet - min";#N/A,#N/A,FALSE,"skupni NMT promet - SIT";#N/A,#N/A,FALSE,"skupni NMT promet - indeksi";#N/A,#N/A,FALSE,"NMT naročniki - min";#N/A,#N/A,FALSE,"NMT naročniki - SIT";#N/A,#N/A,FALSE,"NMT visitorji - min";#N/A,#N/A,FALSE,"NMT visitorji - SIT";#N/A,#N/A,FALSE,"MF naročniki - min";#N/A,#N/A,FALSE,"NMT naročniki - roaming";#N/A,#N/A,FALSE,"NMT - negovorne storitve";#N/A,#N/A,FALSE,"IC MOBITEL&lt;==&gt;TELEKOM";#N/A,#N/A,FALSE,"IC MOBITEL&lt;=&gt;TLK - primerjava  ";"IC MOB TLK plan",#N/A,FALSE,"IC MOBITEL &lt;==&gt;TELEKOM - plan";#N/A,#N/A,FALSE,"IC MOBITEL &lt;==&gt; SIMOBIL";#N/A,#N/A,FALSE,"priloga k primerjavi MOB-SIM";#N/A,#N/A,FALSE,"IC MOBITEL&lt;==&gt;WWI";#N/A,#N/A,FALSE,"priloga k primerjavi MOB-WWI";#N/A,#N/A,FALSE,"Nacionalni roaming WWI";#N/A,#N/A,FALSE,"Rezultat IC";#N/A,#N/A,FALSE,"Rezultat - indeksi"}</definedName>
    <definedName name="wrn.mesečno._.poročilo." localSheetId="10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indeksi";#N/A,#N/A,FALSE,"GSM-negov. stor. SIT";#N/A,#N/A,FALSE,"GSM negov. - indeksi";#N/A,#N/A,FALSE,"GSM-pregled SMS";#N/A,#N/A,FALSE,"GSM - roaming";#N/A,#N/A,FALSE,"skupni NMT promet - min";#N/A,#N/A,FALSE,"skupni NMT promet - SIT";#N/A,#N/A,FALSE,"skupni NMT promet - indeksi";#N/A,#N/A,FALSE,"NMT naročniki - min";#N/A,#N/A,FALSE,"NMT naročniki - SIT";#N/A,#N/A,FALSE,"NMT visitorji - min";#N/A,#N/A,FALSE,"NMT visitorji - SIT";#N/A,#N/A,FALSE,"MF naročniki - min";#N/A,#N/A,FALSE,"NMT naročniki - roaming";#N/A,#N/A,FALSE,"NMT - negovorne storitve";#N/A,#N/A,FALSE,"IC MOBITEL&lt;==&gt;TELEKOM";#N/A,#N/A,FALSE,"IC MOBITEL&lt;=&gt;TLK - primerjava  ";"IC MOB TLK plan",#N/A,FALSE,"IC MOBITEL &lt;==&gt;TELEKOM - plan";#N/A,#N/A,FALSE,"IC MOBITEL &lt;==&gt; SIMOBIL";#N/A,#N/A,FALSE,"priloga k primerjavi MOB-SIM";#N/A,#N/A,FALSE,"IC MOBITEL&lt;==&gt;WWI";#N/A,#N/A,FALSE,"priloga k primerjavi MOB-WWI";#N/A,#N/A,FALSE,"Nacionalni roaming WWI";#N/A,#N/A,FALSE,"Rezultat IC";#N/A,#N/A,FALSE,"Rezultat - indeksi"}</definedName>
    <definedName name="wrn.mesečno._.poročilo." hidden="1">{#N/A,#N/A,FALSE,"skupni GSM promet - min";#N/A,#N/A,FALSE,"skupni GSM promet - SIT";#N/A,#N/A,FALSE,"skupni GSM promet - indeksi";#N/A,#N/A,FALSE,"GSM naročniki - min";#N/A,#N/A,FALSE,"GSM naročniki - SIT";#N/A,#N/A,FALSE,"GSM naročniki - indeksi";#N/A,#N/A,FALSE,"MOBI uporabniki - min";#N/A,#N/A,FALSE,"MOBI uporabniki - SIT";#N/A,#N/A,FALSE,"MOBI uporabniki - indeksi";#N/A,#N/A,FALSE,"Debitel naročniki - min";#N/A,#N/A,FALSE,"Debitel naročniki - SIT";#N/A,#N/A,FALSE,"Debitel naročniki - indeksi";#N/A,#N/A,FALSE,"GSM visitorji - min";#N/A,#N/A,FALSE,"GSM visitorji - SIT";#N/A,#N/A,FALSE,"GSM visitorji - indeksi";#N/A,#N/A,FALSE,"GSM-negov. stor. SIT";#N/A,#N/A,FALSE,"GSM negov. - indeksi";#N/A,#N/A,FALSE,"GSM-pregled SMS";#N/A,#N/A,FALSE,"GSM - roaming";#N/A,#N/A,FALSE,"skupni NMT promet - min";#N/A,#N/A,FALSE,"skupni NMT promet - SIT";#N/A,#N/A,FALSE,"skupni NMT promet - indeksi";#N/A,#N/A,FALSE,"NMT naročniki - min";#N/A,#N/A,FALSE,"NMT naročniki - SIT";#N/A,#N/A,FALSE,"NMT visitorji - min";#N/A,#N/A,FALSE,"NMT visitorji - SIT";#N/A,#N/A,FALSE,"MF naročniki - min";#N/A,#N/A,FALSE,"NMT naročniki - roaming";#N/A,#N/A,FALSE,"NMT - negovorne storitve";#N/A,#N/A,FALSE,"IC MOBITEL&lt;==&gt;TELEKOM";#N/A,#N/A,FALSE,"IC MOBITEL&lt;=&gt;TLK - primerjava  ";"IC MOB TLK plan",#N/A,FALSE,"IC MOBITEL &lt;==&gt;TELEKOM - plan";#N/A,#N/A,FALSE,"IC MOBITEL &lt;==&gt; SIMOBIL";#N/A,#N/A,FALSE,"priloga k primerjavi MOB-SIM";#N/A,#N/A,FALSE,"IC MOBITEL&lt;==&gt;WWI";#N/A,#N/A,FALSE,"priloga k primerjavi MOB-WWI";#N/A,#N/A,FALSE,"Nacionalni roaming WWI";#N/A,#N/A,FALSE,"Rezultat IC";#N/A,#N/A,FALSE,"Rezultat - indeksi"}</definedName>
    <definedName name="wrn.mesečno._.poročilo._.spremni." localSheetId="6" hidden="1">{#N/A,#N/A,FALSE,"1. stran";#N/A,#N/A,FALSE,"kazalo (mesečno poročilo)";#N/A,#N/A,FALSE,"spremni-GSM";#N/A,#N/A,FALSE,"spremni-negov.str. GSM";#N/A,#N/A,FALSE,"spremni-roaming";#N/A,#N/A,FALSE,"spremni-NMT";#N/A,#N/A,FALSE,"spremni-negov str NMT";#N/A,#N/A,FALSE,"spremni-med MOB-TLK";#N/A,#N/A,FALSE,"spremni-med MOB-SIM";#N/A,#N/A,FALSE,"spremni-med MOB-WWI";#N/A,#N/A,FALSE,"spremni-NR WWI";#N/A,#N/A,FALSE,"spremni-bruto rezultat"}</definedName>
    <definedName name="wrn.mesečno._.poročilo._.spremni." localSheetId="9" hidden="1">{#N/A,#N/A,FALSE,"1. stran";#N/A,#N/A,FALSE,"kazalo (mesečno poročilo)";#N/A,#N/A,FALSE,"spremni-GSM";#N/A,#N/A,FALSE,"spremni-negov.str. GSM";#N/A,#N/A,FALSE,"spremni-roaming";#N/A,#N/A,FALSE,"spremni-NMT";#N/A,#N/A,FALSE,"spremni-negov str NMT";#N/A,#N/A,FALSE,"spremni-med MOB-TLK";#N/A,#N/A,FALSE,"spremni-med MOB-SIM";#N/A,#N/A,FALSE,"spremni-med MOB-WWI";#N/A,#N/A,FALSE,"spremni-NR WWI";#N/A,#N/A,FALSE,"spremni-bruto rezultat"}</definedName>
    <definedName name="wrn.mesečno._.poročilo._.spremni." localSheetId="10" hidden="1">{#N/A,#N/A,FALSE,"1. stran";#N/A,#N/A,FALSE,"kazalo (mesečno poročilo)";#N/A,#N/A,FALSE,"spremni-GSM";#N/A,#N/A,FALSE,"spremni-negov.str. GSM";#N/A,#N/A,FALSE,"spremni-roaming";#N/A,#N/A,FALSE,"spremni-NMT";#N/A,#N/A,FALSE,"spremni-negov str NMT";#N/A,#N/A,FALSE,"spremni-med MOB-TLK";#N/A,#N/A,FALSE,"spremni-med MOB-SIM";#N/A,#N/A,FALSE,"spremni-med MOB-WWI";#N/A,#N/A,FALSE,"spremni-NR WWI";#N/A,#N/A,FALSE,"spremni-bruto rezultat"}</definedName>
    <definedName name="wrn.mesečno._.poročilo._.spremni." hidden="1">{#N/A,#N/A,FALSE,"1. stran";#N/A,#N/A,FALSE,"kazalo (mesečno poročilo)";#N/A,#N/A,FALSE,"spremni-GSM";#N/A,#N/A,FALSE,"spremni-negov.str. GSM";#N/A,#N/A,FALSE,"spremni-roaming";#N/A,#N/A,FALSE,"spremni-NMT";#N/A,#N/A,FALSE,"spremni-negov str NMT";#N/A,#N/A,FALSE,"spremni-med MOB-TLK";#N/A,#N/A,FALSE,"spremni-med MOB-SIM";#N/A,#N/A,FALSE,"spremni-med MOB-WWI";#N/A,#N/A,FALSE,"spremni-NR WWI";#N/A,#N/A,FALSE,"spremni-bruto rezultat"}</definedName>
    <definedName name="wrn.Porocilo2." localSheetId="6" hidden="1">{#N/A,#N/A,FALSE,"1. stran";#N/A,#N/A,FALSE,"kazalo";#N/A,#N/A,FALSE,"spremni-GSM";#N/A,#N/A,FALSE,"skupni GSM promet - min";#N/A,#N/A,FALSE,"skupni GSM promet - SIT";#N/A,#N/A,FALSE,"GSM naročniki - min";#N/A,#N/A,FALSE,"GSM naročniki - SIT";#N/A,#N/A,FALSE,"MOBI uporabniki - min";#N/A,#N/A,FALSE,"MOBI dohod - min";#N/A,#N/A,FALSE,"MOBI uporabniki - SIT";#N/A,#N/A,FALSE,"Debitel naročniki - min";#N/A,#N/A,FALSE,"Debitel naročniki - SIT";#N/A,#N/A,FALSE,"GSM visitorji - min";#N/A,#N/A,FALSE,"GSM visitorji - SIT";#N/A,#N/A,FALSE,"spremni-negov.str. GSM";#N/A,#N/A,FALSE,"GSM-negov. stor. SIT";#N/A,#N/A,FALSE,"GSM-pregled SMS";#N/A,#N/A,FALSE,"spremni-roaming";#N/A,#N/A,FALSE,"GSM - roaming";#N/A,#N/A,FALSE,"spremni-NMT";#N/A,#N/A,FALSE,"skupni NMT promet - min";#N/A,#N/A,FALSE,"skupni NMT promet - SIT";#N/A,#N/A,FALSE,"NMT naročniki - min";#N/A,#N/A,FALSE,"NMT naročniki - SIT";#N/A,#N/A,FALSE,"NMT visitorji - min";#N/A,#N/A,FALSE,"NMT visitorji - SIT";#N/A,#N/A,FALSE,"MF naročniki - min";#N/A,#N/A,FALSE,"NMT naročniki - roaming";#N/A,#N/A,FALSE,"spremni-negov str NMT";#N/A,#N/A,FALSE,"NMT - negovorne storitve";#N/A,#N/A,FALSE,"spremni-med MOB-TLK";#N/A,#N/A,FALSE,"IC MOBITEL&lt;==&gt;TELEKOM";#N/A,#N/A,FALSE,"IC MOBITEL&lt;=&gt;TLK - primerjava  ";#N/A,#N/A,FALSE,"IC MOBITEL &lt;==&gt;TELEKOM - plan";#N/A,#N/A,FALSE,"spremni-med MOB-SIM";#N/A,#N/A,FALSE,"IC MOBITEL &lt;==&gt; SIMOBIL";#N/A,#N/A,FALSE,"IC MOBITEL&lt;=&gt;SIM - primerjava";#N/A,#N/A,FALSE,"IC MOBITEL&lt;==&gt;SIMOBIL - plan";#N/A,#N/A,FALSE,"spremni-med MOB-WWI";#N/A,#N/A,FALSE,"IC MOBITEL&lt;==&gt;WWI";#N/A,#N/A,FALSE,"IC MOBITEL&lt;=&gt;WWI - primerjava";#N/A,#N/A,FALSE,"IC MOBITEL&lt;==&gt;WWI - plan";#N/A,#N/A,FALSE,"spremni-NR WWI";#N/A,#N/A,FALSE,"Nacionalni roaming WWI";#N/A,#N/A,FALSE,"spremni-bruto rezultat";#N/A,#N/A,FALSE,"Rezultat IC";#N/A,#N/A,FALSE,"Rezultat - indeksi"}</definedName>
    <definedName name="wrn.Porocilo2." localSheetId="9" hidden="1">{#N/A,#N/A,FALSE,"1. stran";#N/A,#N/A,FALSE,"kazalo";#N/A,#N/A,FALSE,"spremni-GSM";#N/A,#N/A,FALSE,"skupni GSM promet - min";#N/A,#N/A,FALSE,"skupni GSM promet - SIT";#N/A,#N/A,FALSE,"GSM naročniki - min";#N/A,#N/A,FALSE,"GSM naročniki - SIT";#N/A,#N/A,FALSE,"MOBI uporabniki - min";#N/A,#N/A,FALSE,"MOBI dohod - min";#N/A,#N/A,FALSE,"MOBI uporabniki - SIT";#N/A,#N/A,FALSE,"Debitel naročniki - min";#N/A,#N/A,FALSE,"Debitel naročniki - SIT";#N/A,#N/A,FALSE,"GSM visitorji - min";#N/A,#N/A,FALSE,"GSM visitorji - SIT";#N/A,#N/A,FALSE,"spremni-negov.str. GSM";#N/A,#N/A,FALSE,"GSM-negov. stor. SIT";#N/A,#N/A,FALSE,"GSM-pregled SMS";#N/A,#N/A,FALSE,"spremni-roaming";#N/A,#N/A,FALSE,"GSM - roaming";#N/A,#N/A,FALSE,"spremni-NMT";#N/A,#N/A,FALSE,"skupni NMT promet - min";#N/A,#N/A,FALSE,"skupni NMT promet - SIT";#N/A,#N/A,FALSE,"NMT naročniki - min";#N/A,#N/A,FALSE,"NMT naročniki - SIT";#N/A,#N/A,FALSE,"NMT visitorji - min";#N/A,#N/A,FALSE,"NMT visitorji - SIT";#N/A,#N/A,FALSE,"MF naročniki - min";#N/A,#N/A,FALSE,"NMT naročniki - roaming";#N/A,#N/A,FALSE,"spremni-negov str NMT";#N/A,#N/A,FALSE,"NMT - negovorne storitve";#N/A,#N/A,FALSE,"spremni-med MOB-TLK";#N/A,#N/A,FALSE,"IC MOBITEL&lt;==&gt;TELEKOM";#N/A,#N/A,FALSE,"IC MOBITEL&lt;=&gt;TLK - primerjava  ";#N/A,#N/A,FALSE,"IC MOBITEL &lt;==&gt;TELEKOM - plan";#N/A,#N/A,FALSE,"spremni-med MOB-SIM";#N/A,#N/A,FALSE,"IC MOBITEL &lt;==&gt; SIMOBIL";#N/A,#N/A,FALSE,"IC MOBITEL&lt;=&gt;SIM - primerjava";#N/A,#N/A,FALSE,"IC MOBITEL&lt;==&gt;SIMOBIL - plan";#N/A,#N/A,FALSE,"spremni-med MOB-WWI";#N/A,#N/A,FALSE,"IC MOBITEL&lt;==&gt;WWI";#N/A,#N/A,FALSE,"IC MOBITEL&lt;=&gt;WWI - primerjava";#N/A,#N/A,FALSE,"IC MOBITEL&lt;==&gt;WWI - plan";#N/A,#N/A,FALSE,"spremni-NR WWI";#N/A,#N/A,FALSE,"Nacionalni roaming WWI";#N/A,#N/A,FALSE,"spremni-bruto rezultat";#N/A,#N/A,FALSE,"Rezultat IC";#N/A,#N/A,FALSE,"Rezultat - indeksi"}</definedName>
    <definedName name="wrn.Porocilo2." localSheetId="10" hidden="1">{#N/A,#N/A,FALSE,"1. stran";#N/A,#N/A,FALSE,"kazalo";#N/A,#N/A,FALSE,"spremni-GSM";#N/A,#N/A,FALSE,"skupni GSM promet - min";#N/A,#N/A,FALSE,"skupni GSM promet - SIT";#N/A,#N/A,FALSE,"GSM naročniki - min";#N/A,#N/A,FALSE,"GSM naročniki - SIT";#N/A,#N/A,FALSE,"MOBI uporabniki - min";#N/A,#N/A,FALSE,"MOBI dohod - min";#N/A,#N/A,FALSE,"MOBI uporabniki - SIT";#N/A,#N/A,FALSE,"Debitel naročniki - min";#N/A,#N/A,FALSE,"Debitel naročniki - SIT";#N/A,#N/A,FALSE,"GSM visitorji - min";#N/A,#N/A,FALSE,"GSM visitorji - SIT";#N/A,#N/A,FALSE,"spremni-negov.str. GSM";#N/A,#N/A,FALSE,"GSM-negov. stor. SIT";#N/A,#N/A,FALSE,"GSM-pregled SMS";#N/A,#N/A,FALSE,"spremni-roaming";#N/A,#N/A,FALSE,"GSM - roaming";#N/A,#N/A,FALSE,"spremni-NMT";#N/A,#N/A,FALSE,"skupni NMT promet - min";#N/A,#N/A,FALSE,"skupni NMT promet - SIT";#N/A,#N/A,FALSE,"NMT naročniki - min";#N/A,#N/A,FALSE,"NMT naročniki - SIT";#N/A,#N/A,FALSE,"NMT visitorji - min";#N/A,#N/A,FALSE,"NMT visitorji - SIT";#N/A,#N/A,FALSE,"MF naročniki - min";#N/A,#N/A,FALSE,"NMT naročniki - roaming";#N/A,#N/A,FALSE,"spremni-negov str NMT";#N/A,#N/A,FALSE,"NMT - negovorne storitve";#N/A,#N/A,FALSE,"spremni-med MOB-TLK";#N/A,#N/A,FALSE,"IC MOBITEL&lt;==&gt;TELEKOM";#N/A,#N/A,FALSE,"IC MOBITEL&lt;=&gt;TLK - primerjava  ";#N/A,#N/A,FALSE,"IC MOBITEL &lt;==&gt;TELEKOM - plan";#N/A,#N/A,FALSE,"spremni-med MOB-SIM";#N/A,#N/A,FALSE,"IC MOBITEL &lt;==&gt; SIMOBIL";#N/A,#N/A,FALSE,"IC MOBITEL&lt;=&gt;SIM - primerjava";#N/A,#N/A,FALSE,"IC MOBITEL&lt;==&gt;SIMOBIL - plan";#N/A,#N/A,FALSE,"spremni-med MOB-WWI";#N/A,#N/A,FALSE,"IC MOBITEL&lt;==&gt;WWI";#N/A,#N/A,FALSE,"IC MOBITEL&lt;=&gt;WWI - primerjava";#N/A,#N/A,FALSE,"IC MOBITEL&lt;==&gt;WWI - plan";#N/A,#N/A,FALSE,"spremni-NR WWI";#N/A,#N/A,FALSE,"Nacionalni roaming WWI";#N/A,#N/A,FALSE,"spremni-bruto rezultat";#N/A,#N/A,FALSE,"Rezultat IC";#N/A,#N/A,FALSE,"Rezultat - indeksi"}</definedName>
    <definedName name="wrn.Porocilo2." hidden="1">{#N/A,#N/A,FALSE,"1. stran";#N/A,#N/A,FALSE,"kazalo";#N/A,#N/A,FALSE,"spremni-GSM";#N/A,#N/A,FALSE,"skupni GSM promet - min";#N/A,#N/A,FALSE,"skupni GSM promet - SIT";#N/A,#N/A,FALSE,"GSM naročniki - min";#N/A,#N/A,FALSE,"GSM naročniki - SIT";#N/A,#N/A,FALSE,"MOBI uporabniki - min";#N/A,#N/A,FALSE,"MOBI dohod - min";#N/A,#N/A,FALSE,"MOBI uporabniki - SIT";#N/A,#N/A,FALSE,"Debitel naročniki - min";#N/A,#N/A,FALSE,"Debitel naročniki - SIT";#N/A,#N/A,FALSE,"GSM visitorji - min";#N/A,#N/A,FALSE,"GSM visitorji - SIT";#N/A,#N/A,FALSE,"spremni-negov.str. GSM";#N/A,#N/A,FALSE,"GSM-negov. stor. SIT";#N/A,#N/A,FALSE,"GSM-pregled SMS";#N/A,#N/A,FALSE,"spremni-roaming";#N/A,#N/A,FALSE,"GSM - roaming";#N/A,#N/A,FALSE,"spremni-NMT";#N/A,#N/A,FALSE,"skupni NMT promet - min";#N/A,#N/A,FALSE,"skupni NMT promet - SIT";#N/A,#N/A,FALSE,"NMT naročniki - min";#N/A,#N/A,FALSE,"NMT naročniki - SIT";#N/A,#N/A,FALSE,"NMT visitorji - min";#N/A,#N/A,FALSE,"NMT visitorji - SIT";#N/A,#N/A,FALSE,"MF naročniki - min";#N/A,#N/A,FALSE,"NMT naročniki - roaming";#N/A,#N/A,FALSE,"spremni-negov str NMT";#N/A,#N/A,FALSE,"NMT - negovorne storitve";#N/A,#N/A,FALSE,"spremni-med MOB-TLK";#N/A,#N/A,FALSE,"IC MOBITEL&lt;==&gt;TELEKOM";#N/A,#N/A,FALSE,"IC MOBITEL&lt;=&gt;TLK - primerjava  ";#N/A,#N/A,FALSE,"IC MOBITEL &lt;==&gt;TELEKOM - plan";#N/A,#N/A,FALSE,"spremni-med MOB-SIM";#N/A,#N/A,FALSE,"IC MOBITEL &lt;==&gt; SIMOBIL";#N/A,#N/A,FALSE,"IC MOBITEL&lt;=&gt;SIM - primerjava";#N/A,#N/A,FALSE,"IC MOBITEL&lt;==&gt;SIMOBIL - plan";#N/A,#N/A,FALSE,"spremni-med MOB-WWI";#N/A,#N/A,FALSE,"IC MOBITEL&lt;==&gt;WWI";#N/A,#N/A,FALSE,"IC MOBITEL&lt;=&gt;WWI - primerjava";#N/A,#N/A,FALSE,"IC MOBITEL&lt;==&gt;WWI - plan";#N/A,#N/A,FALSE,"spremni-NR WWI";#N/A,#N/A,FALSE,"Nacionalni roaming WWI";#N/A,#N/A,FALSE,"spremni-bruto rezultat";#N/A,#N/A,FALSE,"Rezultat IC";#N/A,#N/A,FALSE,"Rezultat - indeksi"}</definedName>
    <definedName name="wrn.print." localSheetId="6" hidden="1">{"v1",#N/A,FALSE,"financial information";"v2",#N/A,FALSE,"financial information";"v3",#N/A,FALSE,"financial information";"v4",#N/A,FALSE,"financial information";"v5",#N/A,FALSE,"financial information"}</definedName>
    <definedName name="wrn.print." localSheetId="9" hidden="1">{"v1",#N/A,FALSE,"financial information";"v2",#N/A,FALSE,"financial information";"v3",#N/A,FALSE,"financial information";"v4",#N/A,FALSE,"financial information";"v5",#N/A,FALSE,"financial information"}</definedName>
    <definedName name="wrn.print." localSheetId="10" hidden="1">{"v1",#N/A,FALSE,"financial information";"v2",#N/A,FALSE,"financial information";"v3",#N/A,FALSE,"financial information";"v4",#N/A,FALSE,"financial information";"v5",#N/A,FALSE,"financial information"}</definedName>
    <definedName name="wrn.print." hidden="1">{"v1",#N/A,FALSE,"financial information";"v2",#N/A,FALSE,"financial information";"v3",#N/A,FALSE,"financial information";"v4",#N/A,FALSE,"financial information";"v5",#N/A,FALSE,"financial information"}</definedName>
    <definedName name="wrn.Spremni." localSheetId="6" hidden="1">{#N/A,#N/A,FALSE,"spremni-med MOB-TLK";#N/A,#N/A,FALSE,"spremni-med MOB-SIM";#N/A,#N/A,FALSE,"spremni-med MOB-WWI";#N/A,#N/A,FALSE,"spremni-NR WWI";#N/A,#N/A,FALSE,"spremni-bruto rezultat"}</definedName>
    <definedName name="wrn.Spremni." localSheetId="9" hidden="1">{#N/A,#N/A,FALSE,"spremni-med MOB-TLK";#N/A,#N/A,FALSE,"spremni-med MOB-SIM";#N/A,#N/A,FALSE,"spremni-med MOB-WWI";#N/A,#N/A,FALSE,"spremni-NR WWI";#N/A,#N/A,FALSE,"spremni-bruto rezultat"}</definedName>
    <definedName name="wrn.Spremni." localSheetId="10" hidden="1">{#N/A,#N/A,FALSE,"spremni-med MOB-TLK";#N/A,#N/A,FALSE,"spremni-med MOB-SIM";#N/A,#N/A,FALSE,"spremni-med MOB-WWI";#N/A,#N/A,FALSE,"spremni-NR WWI";#N/A,#N/A,FALSE,"spremni-bruto rezultat"}</definedName>
    <definedName name="wrn.Spremni." hidden="1">{#N/A,#N/A,FALSE,"spremni-med MOB-TLK";#N/A,#N/A,FALSE,"spremni-med MOB-SIM";#N/A,#N/A,FALSE,"spremni-med MOB-WWI";#N/A,#N/A,FALSE,"spremni-NR WWI";#N/A,#N/A,FALSE,"spremni-bruto rezultat"}</definedName>
    <definedName name="wrn.Tanja." localSheetId="6" hidden="1">{#N/A,#N/A,FALSE,"1. stran";#N/A,#N/A,FALSE,"kazalo";#N/A,#N/A,FALSE,"spremni-GSM";#N/A,#N/A,FALSE,"skupni GSM promet - min";#N/A,#N/A,FALSE,"skupni GSM promet - min";#N/A,#N/A,FALSE,"skupni GSM promet - SIT";#N/A,#N/A,FALSE,"GSM naročniki - min";#N/A,#N/A,FALSE,"GSM naročniki - SIT";#N/A,#N/A,FALSE,"MOBI uporabniki - min";#N/A,#N/A,FALSE,"MOBI dohod - min";#N/A,#N/A,FALSE,"MOBI uporabniki - SIT";#N/A,#N/A,FALSE,"Debitel naročniki - min";#N/A,#N/A,FALSE,"Debitel naročniki - SIT";#N/A,#N/A,FALSE,"GSM visitorji - min";#N/A,#N/A,FALSE,"GSM visitorji - SIT";#N/A,#N/A,FALSE,"spremni-negov.str. GSM";#N/A,#N/A,FALSE,"GSM-negov. stor. SIT";#N/A,#N/A,FALSE,"GSM-pregled SMS";#N/A,#N/A,FALSE,"spremni-roaming";#N/A,#N/A,FALSE,"GSM - roaming";#N/A,#N/A,FALSE,"spremni-NMT";#N/A,#N/A,FALSE,"skupni NMT promet - min";#N/A,#N/A,FALSE,"skupni NMT promet - SIT";#N/A,#N/A,FALSE,"NMT naročniki - min";#N/A,#N/A,FALSE,"NMT naročniki - SIT";#N/A,#N/A,FALSE,"NMT visitorji - min";#N/A,#N/A,FALSE,"NMT visitorji - SIT";#N/A,#N/A,FALSE,"MF naročniki - min";#N/A,#N/A,FALSE,"NMT naročniki - roaming";#N/A,#N/A,FALSE,"spremni-negov str NMT";#N/A,#N/A,FALSE,"NMT - negovorne storitve";#N/A,#N/A,FALSE,"Rezultat - indeksi"}</definedName>
    <definedName name="wrn.Tanja." localSheetId="9" hidden="1">{#N/A,#N/A,FALSE,"1. stran";#N/A,#N/A,FALSE,"kazalo";#N/A,#N/A,FALSE,"spremni-GSM";#N/A,#N/A,FALSE,"skupni GSM promet - min";#N/A,#N/A,FALSE,"skupni GSM promet - min";#N/A,#N/A,FALSE,"skupni GSM promet - SIT";#N/A,#N/A,FALSE,"GSM naročniki - min";#N/A,#N/A,FALSE,"GSM naročniki - SIT";#N/A,#N/A,FALSE,"MOBI uporabniki - min";#N/A,#N/A,FALSE,"MOBI dohod - min";#N/A,#N/A,FALSE,"MOBI uporabniki - SIT";#N/A,#N/A,FALSE,"Debitel naročniki - min";#N/A,#N/A,FALSE,"Debitel naročniki - SIT";#N/A,#N/A,FALSE,"GSM visitorji - min";#N/A,#N/A,FALSE,"GSM visitorji - SIT";#N/A,#N/A,FALSE,"spremni-negov.str. GSM";#N/A,#N/A,FALSE,"GSM-negov. stor. SIT";#N/A,#N/A,FALSE,"GSM-pregled SMS";#N/A,#N/A,FALSE,"spremni-roaming";#N/A,#N/A,FALSE,"GSM - roaming";#N/A,#N/A,FALSE,"spremni-NMT";#N/A,#N/A,FALSE,"skupni NMT promet - min";#N/A,#N/A,FALSE,"skupni NMT promet - SIT";#N/A,#N/A,FALSE,"NMT naročniki - min";#N/A,#N/A,FALSE,"NMT naročniki - SIT";#N/A,#N/A,FALSE,"NMT visitorji - min";#N/A,#N/A,FALSE,"NMT visitorji - SIT";#N/A,#N/A,FALSE,"MF naročniki - min";#N/A,#N/A,FALSE,"NMT naročniki - roaming";#N/A,#N/A,FALSE,"spremni-negov str NMT";#N/A,#N/A,FALSE,"NMT - negovorne storitve";#N/A,#N/A,FALSE,"Rezultat - indeksi"}</definedName>
    <definedName name="wrn.Tanja." localSheetId="10" hidden="1">{#N/A,#N/A,FALSE,"1. stran";#N/A,#N/A,FALSE,"kazalo";#N/A,#N/A,FALSE,"spremni-GSM";#N/A,#N/A,FALSE,"skupni GSM promet - min";#N/A,#N/A,FALSE,"skupni GSM promet - min";#N/A,#N/A,FALSE,"skupni GSM promet - SIT";#N/A,#N/A,FALSE,"GSM naročniki - min";#N/A,#N/A,FALSE,"GSM naročniki - SIT";#N/A,#N/A,FALSE,"MOBI uporabniki - min";#N/A,#N/A,FALSE,"MOBI dohod - min";#N/A,#N/A,FALSE,"MOBI uporabniki - SIT";#N/A,#N/A,FALSE,"Debitel naročniki - min";#N/A,#N/A,FALSE,"Debitel naročniki - SIT";#N/A,#N/A,FALSE,"GSM visitorji - min";#N/A,#N/A,FALSE,"GSM visitorji - SIT";#N/A,#N/A,FALSE,"spremni-negov.str. GSM";#N/A,#N/A,FALSE,"GSM-negov. stor. SIT";#N/A,#N/A,FALSE,"GSM-pregled SMS";#N/A,#N/A,FALSE,"spremni-roaming";#N/A,#N/A,FALSE,"GSM - roaming";#N/A,#N/A,FALSE,"spremni-NMT";#N/A,#N/A,FALSE,"skupni NMT promet - min";#N/A,#N/A,FALSE,"skupni NMT promet - SIT";#N/A,#N/A,FALSE,"NMT naročniki - min";#N/A,#N/A,FALSE,"NMT naročniki - SIT";#N/A,#N/A,FALSE,"NMT visitorji - min";#N/A,#N/A,FALSE,"NMT visitorji - SIT";#N/A,#N/A,FALSE,"MF naročniki - min";#N/A,#N/A,FALSE,"NMT naročniki - roaming";#N/A,#N/A,FALSE,"spremni-negov str NMT";#N/A,#N/A,FALSE,"NMT - negovorne storitve";#N/A,#N/A,FALSE,"Rezultat - indeksi"}</definedName>
    <definedName name="wrn.Tanja." hidden="1">{#N/A,#N/A,FALSE,"1. stran";#N/A,#N/A,FALSE,"kazalo";#N/A,#N/A,FALSE,"spremni-GSM";#N/A,#N/A,FALSE,"skupni GSM promet - min";#N/A,#N/A,FALSE,"skupni GSM promet - min";#N/A,#N/A,FALSE,"skupni GSM promet - SIT";#N/A,#N/A,FALSE,"GSM naročniki - min";#N/A,#N/A,FALSE,"GSM naročniki - SIT";#N/A,#N/A,FALSE,"MOBI uporabniki - min";#N/A,#N/A,FALSE,"MOBI dohod - min";#N/A,#N/A,FALSE,"MOBI uporabniki - SIT";#N/A,#N/A,FALSE,"Debitel naročniki - min";#N/A,#N/A,FALSE,"Debitel naročniki - SIT";#N/A,#N/A,FALSE,"GSM visitorji - min";#N/A,#N/A,FALSE,"GSM visitorji - SIT";#N/A,#N/A,FALSE,"spremni-negov.str. GSM";#N/A,#N/A,FALSE,"GSM-negov. stor. SIT";#N/A,#N/A,FALSE,"GSM-pregled SMS";#N/A,#N/A,FALSE,"spremni-roaming";#N/A,#N/A,FALSE,"GSM - roaming";#N/A,#N/A,FALSE,"spremni-NMT";#N/A,#N/A,FALSE,"skupni NMT promet - min";#N/A,#N/A,FALSE,"skupni NMT promet - SIT";#N/A,#N/A,FALSE,"NMT naročniki - min";#N/A,#N/A,FALSE,"NMT naročniki - SIT";#N/A,#N/A,FALSE,"NMT visitorji - min";#N/A,#N/A,FALSE,"NMT visitorji - SIT";#N/A,#N/A,FALSE,"MF naročniki - min";#N/A,#N/A,FALSE,"NMT naročniki - roaming";#N/A,#N/A,FALSE,"spremni-negov str NMT";#N/A,#N/A,FALSE,"NMT - negovorne storitve";#N/A,#N/A,FALSE,"Rezultat - indeksi"}</definedName>
    <definedName name="xxx" localSheetId="6" hidden="1">{#N/A,#N/A,TRUE,"Kazalo";#N/A,#N/A,TRUE,"odhod in dohod";#N/A,#N/A,TRUE,"cene odhod";#N/A,#N/A,TRUE,"cene dohod";#N/A,#N/A,TRUE,"minute odhod";#N/A,#N/A,TRUE,"minute dohod";#N/A,#N/A,TRUE,"zneski odhod";#N/A,#N/A,TRUE,"zneski dohod";#N/A,#N/A,TRUE,"grafi odhod";#N/A,#N/A,TRUE,"grafi dohod";#N/A,#N/A,TRUE,"odhod min t, cenik t+1";#N/A,#N/A,TRUE,"dohod min t,  cenik t+1 ";#N/A,#N/A,TRUE,"Vpliv novega cenika";#N/A,#N/A,TRUE,"IC cene in cene za stranke"}</definedName>
    <definedName name="xxx" localSheetId="9" hidden="1">{#N/A,#N/A,TRUE,"Kazalo";#N/A,#N/A,TRUE,"odhod in dohod";#N/A,#N/A,TRUE,"cene odhod";#N/A,#N/A,TRUE,"cene dohod";#N/A,#N/A,TRUE,"minute odhod";#N/A,#N/A,TRUE,"minute dohod";#N/A,#N/A,TRUE,"zneski odhod";#N/A,#N/A,TRUE,"zneski dohod";#N/A,#N/A,TRUE,"grafi odhod";#N/A,#N/A,TRUE,"grafi dohod";#N/A,#N/A,TRUE,"odhod min t, cenik t+1";#N/A,#N/A,TRUE,"dohod min t,  cenik t+1 ";#N/A,#N/A,TRUE,"Vpliv novega cenika";#N/A,#N/A,TRUE,"IC cene in cene za stranke"}</definedName>
    <definedName name="xxx" localSheetId="10" hidden="1">{#N/A,#N/A,TRUE,"Kazalo";#N/A,#N/A,TRUE,"odhod in dohod";#N/A,#N/A,TRUE,"cene odhod";#N/A,#N/A,TRUE,"cene dohod";#N/A,#N/A,TRUE,"minute odhod";#N/A,#N/A,TRUE,"minute dohod";#N/A,#N/A,TRUE,"zneski odhod";#N/A,#N/A,TRUE,"zneski dohod";#N/A,#N/A,TRUE,"grafi odhod";#N/A,#N/A,TRUE,"grafi dohod";#N/A,#N/A,TRUE,"odhod min t, cenik t+1";#N/A,#N/A,TRUE,"dohod min t,  cenik t+1 ";#N/A,#N/A,TRUE,"Vpliv novega cenika";#N/A,#N/A,TRUE,"IC cene in cene za stranke"}</definedName>
    <definedName name="xxx" hidden="1">{#N/A,#N/A,TRUE,"Kazalo";#N/A,#N/A,TRUE,"odhod in dohod";#N/A,#N/A,TRUE,"cene odhod";#N/A,#N/A,TRUE,"cene dohod";#N/A,#N/A,TRUE,"minute odhod";#N/A,#N/A,TRUE,"minute dohod";#N/A,#N/A,TRUE,"zneski odhod";#N/A,#N/A,TRUE,"zneski dohod";#N/A,#N/A,TRUE,"grafi odhod";#N/A,#N/A,TRUE,"grafi dohod";#N/A,#N/A,TRUE,"odhod min t, cenik t+1";#N/A,#N/A,TRUE,"dohod min t,  cenik t+1 ";#N/A,#N/A,TRUE,"Vpliv novega cenika";#N/A,#N/A,TRUE,"IC cene in cene za stranke"}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2" l="1"/>
  <c r="B8" i="10"/>
  <c r="M10" i="31"/>
  <c r="I3" i="33"/>
  <c r="B4" i="8"/>
  <c r="B3" i="8"/>
  <c r="B2" i="8"/>
  <c r="I4" i="31" l="1"/>
  <c r="D9" i="2"/>
  <c r="G3" i="33"/>
  <c r="F3" i="33"/>
  <c r="E3" i="33"/>
  <c r="G31" i="33"/>
  <c r="C53" i="33"/>
  <c r="D53" i="33"/>
  <c r="C39" i="33"/>
  <c r="D39" i="33"/>
  <c r="C25" i="33"/>
  <c r="D25" i="33"/>
  <c r="D11" i="33"/>
  <c r="C64" i="32"/>
  <c r="C47" i="32"/>
  <c r="C30" i="32"/>
  <c r="D13" i="32"/>
  <c r="D64" i="32" s="1"/>
  <c r="H31" i="33" a="1"/>
  <c r="D30" i="32" l="1"/>
  <c r="D47" i="32"/>
  <c r="E13" i="32"/>
  <c r="R2" i="33"/>
  <c r="J11" i="33" s="1"/>
  <c r="H31" i="33"/>
  <c r="B5" i="4" l="1"/>
  <c r="B8" i="16" l="1"/>
  <c r="B5" i="14"/>
  <c r="T2" i="32" s="1"/>
  <c r="B11" i="10" l="1"/>
  <c r="S2" i="33"/>
  <c r="J3" i="33" s="1"/>
  <c r="M9" i="31"/>
  <c r="M3" i="31" s="1"/>
  <c r="M2" i="31"/>
  <c r="B78" i="33"/>
  <c r="C73" i="33"/>
  <c r="C72" i="33"/>
  <c r="C71" i="33"/>
  <c r="D70" i="33"/>
  <c r="D71" i="33" s="1"/>
  <c r="D72" i="33" s="1"/>
  <c r="D73" i="33" s="1"/>
  <c r="C70" i="33"/>
  <c r="B70" i="33"/>
  <c r="B71" i="33" s="1"/>
  <c r="B72" i="33" s="1"/>
  <c r="D69" i="33"/>
  <c r="C69" i="33"/>
  <c r="D68" i="33"/>
  <c r="C68" i="33"/>
  <c r="B68" i="33"/>
  <c r="D66" i="33"/>
  <c r="C66" i="33"/>
  <c r="B66" i="33"/>
  <c r="B69" i="33" s="1"/>
  <c r="B55" i="33"/>
  <c r="B54" i="33"/>
  <c r="B52" i="33"/>
  <c r="A51" i="33"/>
  <c r="B50" i="33"/>
  <c r="A50" i="33"/>
  <c r="C49" i="33"/>
  <c r="B49" i="33"/>
  <c r="A49" i="33"/>
  <c r="C48" i="33"/>
  <c r="B48" i="33"/>
  <c r="C47" i="33"/>
  <c r="D46" i="33"/>
  <c r="A42" i="33"/>
  <c r="A56" i="33" s="1"/>
  <c r="J41" i="33"/>
  <c r="B41" i="33"/>
  <c r="B40" i="33"/>
  <c r="B38" i="33"/>
  <c r="A38" i="33"/>
  <c r="A52" i="33" s="1"/>
  <c r="C37" i="33"/>
  <c r="C51" i="33" s="1"/>
  <c r="B37" i="33"/>
  <c r="B51" i="33" s="1"/>
  <c r="A37" i="33"/>
  <c r="C36" i="33"/>
  <c r="C50" i="33" s="1"/>
  <c r="C35" i="33"/>
  <c r="A34" i="33"/>
  <c r="A48" i="33" s="1"/>
  <c r="A28" i="33"/>
  <c r="B27" i="33"/>
  <c r="B26" i="33"/>
  <c r="E25" i="33"/>
  <c r="F25" i="33" s="1"/>
  <c r="G25" i="33" s="1"/>
  <c r="F24" i="33"/>
  <c r="G24" i="33" s="1"/>
  <c r="D24" i="33"/>
  <c r="D38" i="33" s="1"/>
  <c r="D52" i="33" s="1"/>
  <c r="C24" i="33"/>
  <c r="C38" i="33" s="1"/>
  <c r="C52" i="33" s="1"/>
  <c r="B24" i="33"/>
  <c r="A24" i="33"/>
  <c r="C23" i="33"/>
  <c r="A23" i="33"/>
  <c r="C22" i="33"/>
  <c r="A22" i="33"/>
  <c r="A36" i="33" s="1"/>
  <c r="C21" i="33"/>
  <c r="B21" i="33"/>
  <c r="B35" i="33" s="1"/>
  <c r="A21" i="33"/>
  <c r="A35" i="33" s="1"/>
  <c r="C20" i="33"/>
  <c r="C34" i="33" s="1"/>
  <c r="B20" i="33"/>
  <c r="B34" i="33" s="1"/>
  <c r="A20" i="33"/>
  <c r="C19" i="33"/>
  <c r="C33" i="33" s="1"/>
  <c r="B19" i="33"/>
  <c r="B33" i="33" s="1"/>
  <c r="B47" i="33" s="1"/>
  <c r="A19" i="33"/>
  <c r="A33" i="33" s="1"/>
  <c r="A47" i="33" s="1"/>
  <c r="D18" i="33"/>
  <c r="D32" i="33" s="1"/>
  <c r="C18" i="33"/>
  <c r="C32" i="33" s="1"/>
  <c r="C46" i="33" s="1"/>
  <c r="B18" i="33"/>
  <c r="B32" i="33" s="1"/>
  <c r="B46" i="33" s="1"/>
  <c r="A18" i="33"/>
  <c r="A32" i="33" s="1"/>
  <c r="A46" i="33" s="1"/>
  <c r="C17" i="33"/>
  <c r="C31" i="33" s="1"/>
  <c r="C45" i="33" s="1"/>
  <c r="B17" i="33"/>
  <c r="B31" i="33" s="1"/>
  <c r="B45" i="33" s="1"/>
  <c r="A17" i="33"/>
  <c r="A31" i="33" s="1"/>
  <c r="A45" i="33" s="1"/>
  <c r="E16" i="33"/>
  <c r="E30" i="33" s="1"/>
  <c r="E44" i="33" s="1"/>
  <c r="D16" i="33"/>
  <c r="D30" i="33" s="1"/>
  <c r="D44" i="33" s="1"/>
  <c r="C16" i="33"/>
  <c r="C30" i="33" s="1"/>
  <c r="C44" i="33" s="1"/>
  <c r="B16" i="33"/>
  <c r="B30" i="33" s="1"/>
  <c r="B44" i="33" s="1"/>
  <c r="A16" i="33"/>
  <c r="A30" i="33" s="1"/>
  <c r="A44" i="33" s="1"/>
  <c r="B13" i="33"/>
  <c r="D12" i="33"/>
  <c r="E12" i="33" s="1"/>
  <c r="F12" i="33" s="1"/>
  <c r="G12" i="33" s="1"/>
  <c r="B12" i="33"/>
  <c r="E11" i="33"/>
  <c r="F11" i="33" s="1"/>
  <c r="G11" i="33" s="1"/>
  <c r="D10" i="33"/>
  <c r="E10" i="33" s="1"/>
  <c r="E24" i="33" s="1"/>
  <c r="E38" i="33" s="1"/>
  <c r="B9" i="33"/>
  <c r="B23" i="33" s="1"/>
  <c r="B8" i="33"/>
  <c r="B22" i="33" s="1"/>
  <c r="B36" i="33" s="1"/>
  <c r="D5" i="33"/>
  <c r="D19" i="33" s="1"/>
  <c r="D33" i="33" s="1"/>
  <c r="D47" i="33" s="1"/>
  <c r="R4" i="33"/>
  <c r="O3" i="33"/>
  <c r="D4" i="33" s="1"/>
  <c r="E4" i="33" s="1"/>
  <c r="N3" i="33"/>
  <c r="D3" i="33"/>
  <c r="B84" i="32"/>
  <c r="D76" i="32"/>
  <c r="D77" i="32" s="1"/>
  <c r="D78" i="32" s="1"/>
  <c r="C76" i="32"/>
  <c r="C77" i="32" s="1"/>
  <c r="C78" i="32" s="1"/>
  <c r="B76" i="32"/>
  <c r="B77" i="32" s="1"/>
  <c r="B78" i="32" s="1"/>
  <c r="D72" i="32"/>
  <c r="D75" i="32" s="1"/>
  <c r="C72" i="32"/>
  <c r="C74" i="32" s="1"/>
  <c r="B72" i="32"/>
  <c r="B75" i="32" s="1"/>
  <c r="B66" i="32"/>
  <c r="B65" i="32"/>
  <c r="E64" i="32"/>
  <c r="F64" i="32" s="1"/>
  <c r="L61" i="32"/>
  <c r="A57" i="32"/>
  <c r="A56" i="32"/>
  <c r="B49" i="32"/>
  <c r="B48" i="32"/>
  <c r="E47" i="32"/>
  <c r="F47" i="32" s="1"/>
  <c r="L44" i="32"/>
  <c r="A40" i="32"/>
  <c r="O39" i="32"/>
  <c r="A39" i="32"/>
  <c r="B32" i="32"/>
  <c r="B31" i="32"/>
  <c r="L30" i="32"/>
  <c r="E30" i="32"/>
  <c r="F30" i="32" s="1"/>
  <c r="A23" i="32"/>
  <c r="A22" i="32"/>
  <c r="M19" i="32"/>
  <c r="L18" i="32" s="1"/>
  <c r="L19" i="32"/>
  <c r="K19" i="32"/>
  <c r="E19" i="32"/>
  <c r="E36" i="32" s="1"/>
  <c r="E53" i="32" s="1"/>
  <c r="D19" i="32"/>
  <c r="D36" i="32" s="1"/>
  <c r="D53" i="32" s="1"/>
  <c r="C19" i="32"/>
  <c r="C36" i="32" s="1"/>
  <c r="C53" i="32" s="1"/>
  <c r="B19" i="32"/>
  <c r="B36" i="32" s="1"/>
  <c r="B53" i="32" s="1"/>
  <c r="A19" i="32"/>
  <c r="A36" i="32" s="1"/>
  <c r="A53" i="32" s="1"/>
  <c r="L17" i="32"/>
  <c r="C38" i="32" s="1"/>
  <c r="D38" i="32" s="1"/>
  <c r="E38" i="32" s="1"/>
  <c r="F38" i="32" s="1"/>
  <c r="B15" i="32"/>
  <c r="B14" i="32"/>
  <c r="F13" i="32"/>
  <c r="L11" i="32"/>
  <c r="A6" i="32"/>
  <c r="A5" i="32"/>
  <c r="S4" i="32"/>
  <c r="O3" i="32"/>
  <c r="N3" i="32"/>
  <c r="D33" i="32" s="1"/>
  <c r="E33" i="32" s="1"/>
  <c r="F33" i="32" s="1"/>
  <c r="B26" i="31"/>
  <c r="A24" i="31"/>
  <c r="C12" i="31"/>
  <c r="B11" i="31"/>
  <c r="C78" i="33" a="1"/>
  <c r="H24" i="33" a="1"/>
  <c r="C84" i="32" a="1"/>
  <c r="G13" i="32" l="1"/>
  <c r="M4" i="31"/>
  <c r="H24" i="33"/>
  <c r="C78" i="33"/>
  <c r="C79" i="33" s="1"/>
  <c r="I12" i="33"/>
  <c r="J12" i="33" s="1"/>
  <c r="E5" i="33"/>
  <c r="I24" i="33"/>
  <c r="J24" i="33" s="1"/>
  <c r="I11" i="33"/>
  <c r="I25" i="33"/>
  <c r="J25" i="33" s="1"/>
  <c r="D17" i="33"/>
  <c r="D31" i="33" s="1"/>
  <c r="D45" i="33" s="1"/>
  <c r="D27" i="33"/>
  <c r="E27" i="33" s="1"/>
  <c r="F27" i="33" s="1"/>
  <c r="G27" i="33" s="1"/>
  <c r="D55" i="33"/>
  <c r="E55" i="33" s="1"/>
  <c r="F55" i="33" s="1"/>
  <c r="G55" i="33" s="1"/>
  <c r="D41" i="33"/>
  <c r="E41" i="33" s="1"/>
  <c r="F41" i="33" s="1"/>
  <c r="G41" i="33" s="1"/>
  <c r="D13" i="33"/>
  <c r="E13" i="33" s="1"/>
  <c r="F13" i="33" s="1"/>
  <c r="G13" i="33" s="1"/>
  <c r="D54" i="33"/>
  <c r="E54" i="33" s="1"/>
  <c r="F54" i="33" s="1"/>
  <c r="G54" i="33" s="1"/>
  <c r="C74" i="33"/>
  <c r="D26" i="33"/>
  <c r="E26" i="33" s="1"/>
  <c r="F26" i="33" s="1"/>
  <c r="G26" i="33" s="1"/>
  <c r="J40" i="33"/>
  <c r="D40" i="33"/>
  <c r="E40" i="33" s="1"/>
  <c r="F40" i="33" s="1"/>
  <c r="G40" i="33" s="1"/>
  <c r="E18" i="33"/>
  <c r="F4" i="33"/>
  <c r="G4" i="33" s="1"/>
  <c r="B74" i="33"/>
  <c r="B73" i="33"/>
  <c r="E73" i="33" s="1"/>
  <c r="F38" i="33"/>
  <c r="G38" i="33" s="1"/>
  <c r="E52" i="33"/>
  <c r="F52" i="33" s="1"/>
  <c r="G52" i="33" s="1"/>
  <c r="D7" i="33"/>
  <c r="D8" i="33"/>
  <c r="D6" i="33"/>
  <c r="F10" i="33"/>
  <c r="G10" i="33" s="1"/>
  <c r="D74" i="33"/>
  <c r="B79" i="33"/>
  <c r="D9" i="33"/>
  <c r="C75" i="32"/>
  <c r="C80" i="32" s="1"/>
  <c r="B74" i="32"/>
  <c r="B79" i="32" s="1"/>
  <c r="C20" i="32"/>
  <c r="D20" i="32" s="1"/>
  <c r="E20" i="32" s="1"/>
  <c r="F20" i="32" s="1"/>
  <c r="G20" i="32" s="1"/>
  <c r="D74" i="32"/>
  <c r="D79" i="32" s="1"/>
  <c r="C21" i="32"/>
  <c r="D21" i="32" s="1"/>
  <c r="E21" i="32" s="1"/>
  <c r="F21" i="32" s="1"/>
  <c r="G21" i="32" s="1"/>
  <c r="C3" i="32"/>
  <c r="D3" i="32" s="1"/>
  <c r="E3" i="32" s="1"/>
  <c r="F3" i="32" s="1"/>
  <c r="G3" i="32" s="1"/>
  <c r="C4" i="32"/>
  <c r="D4" i="32" s="1"/>
  <c r="E4" i="32" s="1"/>
  <c r="F4" i="32" s="1"/>
  <c r="G4" i="32" s="1"/>
  <c r="I4" i="32" s="1"/>
  <c r="D50" i="32"/>
  <c r="E50" i="32" s="1"/>
  <c r="F50" i="32" s="1"/>
  <c r="G50" i="32" s="1"/>
  <c r="I50" i="32" s="1"/>
  <c r="J50" i="32" s="1"/>
  <c r="D67" i="32"/>
  <c r="E67" i="32" s="1"/>
  <c r="F67" i="32" s="1"/>
  <c r="L20" i="32"/>
  <c r="C61" i="32" s="1"/>
  <c r="D61" i="32" s="1"/>
  <c r="E61" i="32" s="1"/>
  <c r="F61" i="32" s="1"/>
  <c r="G61" i="32" s="1"/>
  <c r="C55" i="32"/>
  <c r="D55" i="32" s="1"/>
  <c r="E55" i="32" s="1"/>
  <c r="F55" i="32" s="1"/>
  <c r="G55" i="32" s="1"/>
  <c r="G38" i="32"/>
  <c r="I38" i="32" s="1"/>
  <c r="C84" i="32"/>
  <c r="C46" i="32"/>
  <c r="D46" i="32" s="1"/>
  <c r="E46" i="32" s="1"/>
  <c r="F46" i="32" s="1"/>
  <c r="G46" i="32" s="1"/>
  <c r="C29" i="32"/>
  <c r="D29" i="32" s="1"/>
  <c r="E29" i="32" s="1"/>
  <c r="F29" i="32" s="1"/>
  <c r="G29" i="32" s="1"/>
  <c r="C10" i="32"/>
  <c r="D10" i="32" s="1"/>
  <c r="E10" i="32" s="1"/>
  <c r="F10" i="32" s="1"/>
  <c r="G10" i="32" s="1"/>
  <c r="C41" i="32"/>
  <c r="D41" i="32" s="1"/>
  <c r="E41" i="32" s="1"/>
  <c r="F41" i="32" s="1"/>
  <c r="G41" i="32" s="1"/>
  <c r="D80" i="32"/>
  <c r="D15" i="32"/>
  <c r="E15" i="32" s="1"/>
  <c r="F15" i="32" s="1"/>
  <c r="D65" i="32"/>
  <c r="E65" i="32" s="1"/>
  <c r="F65" i="32" s="1"/>
  <c r="G65" i="32" s="1"/>
  <c r="J49" i="32"/>
  <c r="D49" i="32"/>
  <c r="E49" i="32" s="1"/>
  <c r="F49" i="32" s="1"/>
  <c r="G49" i="32" s="1"/>
  <c r="D66" i="32"/>
  <c r="E66" i="32" s="1"/>
  <c r="F66" i="32" s="1"/>
  <c r="G66" i="32" s="1"/>
  <c r="D31" i="32"/>
  <c r="E31" i="32" s="1"/>
  <c r="F31" i="32" s="1"/>
  <c r="G31" i="32" s="1"/>
  <c r="D48" i="32"/>
  <c r="E48" i="32" s="1"/>
  <c r="F48" i="32" s="1"/>
  <c r="G48" i="32" s="1"/>
  <c r="C79" i="32"/>
  <c r="D14" i="32"/>
  <c r="E14" i="32" s="1"/>
  <c r="F14" i="32" s="1"/>
  <c r="G14" i="32" s="1"/>
  <c r="D32" i="32"/>
  <c r="E32" i="32" s="1"/>
  <c r="F32" i="32" s="1"/>
  <c r="G32" i="32" s="1"/>
  <c r="J48" i="32"/>
  <c r="B80" i="32"/>
  <c r="G15" i="32"/>
  <c r="G33" i="32"/>
  <c r="C37" i="32"/>
  <c r="D37" i="32" s="1"/>
  <c r="E37" i="32" s="1"/>
  <c r="F37" i="32" s="1"/>
  <c r="G37" i="32" s="1"/>
  <c r="G64" i="32"/>
  <c r="G67" i="32"/>
  <c r="D16" i="32"/>
  <c r="E16" i="32" s="1"/>
  <c r="F16" i="32" s="1"/>
  <c r="G16" i="32" s="1"/>
  <c r="C54" i="32"/>
  <c r="D54" i="32" s="1"/>
  <c r="E54" i="32" s="1"/>
  <c r="F54" i="32" s="1"/>
  <c r="G54" i="32" s="1"/>
  <c r="G30" i="32"/>
  <c r="G47" i="32"/>
  <c r="I47" i="32" s="1"/>
  <c r="J47" i="32" s="1"/>
  <c r="B12" i="31"/>
  <c r="D12" i="31" s="1"/>
  <c r="C11" i="31"/>
  <c r="D11" i="31" s="1"/>
  <c r="H13" i="32" a="1"/>
  <c r="H11" i="33" a="1"/>
  <c r="H12" i="33" a="1"/>
  <c r="H25" i="33" a="1"/>
  <c r="H4" i="32" a="1"/>
  <c r="H50" i="32" a="1"/>
  <c r="H38" i="32" a="1"/>
  <c r="H13" i="32" l="1"/>
  <c r="I13" i="32"/>
  <c r="J13" i="32" s="1"/>
  <c r="C7" i="32"/>
  <c r="D7" i="32" s="1"/>
  <c r="E7" i="32" s="1"/>
  <c r="F7" i="32" s="1"/>
  <c r="G7" i="32" s="1"/>
  <c r="C24" i="32"/>
  <c r="D24" i="32" s="1"/>
  <c r="E24" i="32" s="1"/>
  <c r="F24" i="32" s="1"/>
  <c r="G24" i="32" s="1"/>
  <c r="I24" i="32" s="1"/>
  <c r="J24" i="32" s="1"/>
  <c r="C85" i="32"/>
  <c r="C86" i="32" s="1"/>
  <c r="C87" i="32" s="1"/>
  <c r="I34" i="32" s="1"/>
  <c r="J34" i="32" s="1"/>
  <c r="C11" i="32"/>
  <c r="D11" i="32" s="1"/>
  <c r="E11" i="32" s="1"/>
  <c r="F11" i="32" s="1"/>
  <c r="G11" i="32" s="1"/>
  <c r="M6" i="31"/>
  <c r="I7" i="31" s="1"/>
  <c r="M7" i="31"/>
  <c r="I9" i="31" s="1"/>
  <c r="B16" i="31" s="1"/>
  <c r="C24" i="31" s="1"/>
  <c r="H12" i="33"/>
  <c r="H25" i="33"/>
  <c r="H11" i="33"/>
  <c r="I10" i="33"/>
  <c r="J10" i="33" s="1"/>
  <c r="I26" i="33"/>
  <c r="J26" i="33" s="1"/>
  <c r="D20" i="33"/>
  <c r="D34" i="33" s="1"/>
  <c r="D48" i="33" s="1"/>
  <c r="E6" i="33"/>
  <c r="E8" i="33"/>
  <c r="D22" i="33"/>
  <c r="D36" i="33" s="1"/>
  <c r="D50" i="33" s="1"/>
  <c r="I54" i="33"/>
  <c r="J54" i="33" s="1"/>
  <c r="E19" i="33"/>
  <c r="F5" i="33"/>
  <c r="G5" i="33" s="1"/>
  <c r="E7" i="33"/>
  <c r="D21" i="33"/>
  <c r="D35" i="33" s="1"/>
  <c r="D49" i="33" s="1"/>
  <c r="I13" i="33"/>
  <c r="J13" i="33" s="1"/>
  <c r="I52" i="33"/>
  <c r="J52" i="33" s="1"/>
  <c r="I41" i="33"/>
  <c r="I38" i="33"/>
  <c r="J38" i="33" s="1"/>
  <c r="I55" i="33"/>
  <c r="J55" i="33" s="1"/>
  <c r="F80" i="33"/>
  <c r="E80" i="33"/>
  <c r="E81" i="33" s="1"/>
  <c r="I42" i="33" s="1"/>
  <c r="D80" i="33"/>
  <c r="D81" i="33" s="1"/>
  <c r="I14" i="33" s="1"/>
  <c r="J14" i="33" s="1"/>
  <c r="C80" i="33"/>
  <c r="C81" i="33" s="1"/>
  <c r="I28" i="33" s="1"/>
  <c r="I27" i="33"/>
  <c r="J27" i="33" s="1"/>
  <c r="E74" i="33"/>
  <c r="E53" i="33"/>
  <c r="F53" i="33" s="1"/>
  <c r="G53" i="33" s="1"/>
  <c r="E39" i="33"/>
  <c r="F39" i="33" s="1"/>
  <c r="G39" i="33" s="1"/>
  <c r="I4" i="33"/>
  <c r="J4" i="33" s="1"/>
  <c r="E17" i="33"/>
  <c r="E9" i="33"/>
  <c r="D23" i="33"/>
  <c r="D37" i="33" s="1"/>
  <c r="D51" i="33" s="1"/>
  <c r="E32" i="33"/>
  <c r="F18" i="33"/>
  <c r="G18" i="33" s="1"/>
  <c r="I40" i="33"/>
  <c r="C28" i="32"/>
  <c r="D28" i="32" s="1"/>
  <c r="E28" i="32" s="1"/>
  <c r="F28" i="32" s="1"/>
  <c r="G28" i="32" s="1"/>
  <c r="I28" i="32" s="1"/>
  <c r="J28" i="32" s="1"/>
  <c r="C8" i="32"/>
  <c r="D8" i="32" s="1"/>
  <c r="E8" i="32" s="1"/>
  <c r="F8" i="32" s="1"/>
  <c r="G8" i="32" s="1"/>
  <c r="I8" i="32" s="1"/>
  <c r="J8" i="32" s="1"/>
  <c r="C25" i="32"/>
  <c r="D25" i="32" s="1"/>
  <c r="E25" i="32" s="1"/>
  <c r="F25" i="32" s="1"/>
  <c r="G25" i="32" s="1"/>
  <c r="I25" i="32" s="1"/>
  <c r="J25" i="32" s="1"/>
  <c r="C27" i="32"/>
  <c r="D27" i="32" s="1"/>
  <c r="E27" i="32" s="1"/>
  <c r="F27" i="32" s="1"/>
  <c r="G27" i="32" s="1"/>
  <c r="I27" i="32" s="1"/>
  <c r="J27" i="32" s="1"/>
  <c r="C26" i="32"/>
  <c r="D26" i="32" s="1"/>
  <c r="E26" i="32" s="1"/>
  <c r="F26" i="32" s="1"/>
  <c r="G26" i="32" s="1"/>
  <c r="I26" i="32" s="1"/>
  <c r="J26" i="32" s="1"/>
  <c r="C63" i="32"/>
  <c r="D63" i="32" s="1"/>
  <c r="E63" i="32" s="1"/>
  <c r="F63" i="32" s="1"/>
  <c r="G63" i="32" s="1"/>
  <c r="I63" i="32" s="1"/>
  <c r="J63" i="32" s="1"/>
  <c r="C45" i="32"/>
  <c r="D45" i="32" s="1"/>
  <c r="E45" i="32" s="1"/>
  <c r="F45" i="32" s="1"/>
  <c r="G45" i="32" s="1"/>
  <c r="I45" i="32" s="1"/>
  <c r="J45" i="32" s="1"/>
  <c r="C44" i="32"/>
  <c r="D44" i="32" s="1"/>
  <c r="E44" i="32" s="1"/>
  <c r="F44" i="32" s="1"/>
  <c r="G44" i="32" s="1"/>
  <c r="B85" i="32"/>
  <c r="C58" i="32"/>
  <c r="D58" i="32" s="1"/>
  <c r="E58" i="32" s="1"/>
  <c r="F58" i="32" s="1"/>
  <c r="G58" i="32" s="1"/>
  <c r="I58" i="32" s="1"/>
  <c r="J58" i="32" s="1"/>
  <c r="C43" i="32"/>
  <c r="D43" i="32" s="1"/>
  <c r="E43" i="32" s="1"/>
  <c r="F43" i="32" s="1"/>
  <c r="G43" i="32" s="1"/>
  <c r="I43" i="32" s="1"/>
  <c r="J43" i="32" s="1"/>
  <c r="C62" i="32"/>
  <c r="D62" i="32" s="1"/>
  <c r="E62" i="32" s="1"/>
  <c r="F62" i="32" s="1"/>
  <c r="G62" i="32" s="1"/>
  <c r="I62" i="32" s="1"/>
  <c r="J62" i="32" s="1"/>
  <c r="C9" i="32"/>
  <c r="D9" i="32" s="1"/>
  <c r="E9" i="32" s="1"/>
  <c r="F9" i="32" s="1"/>
  <c r="G9" i="32" s="1"/>
  <c r="I9" i="32" s="1"/>
  <c r="J9" i="32" s="1"/>
  <c r="C12" i="32"/>
  <c r="D12" i="32" s="1"/>
  <c r="E12" i="32" s="1"/>
  <c r="F12" i="32" s="1"/>
  <c r="G12" i="32" s="1"/>
  <c r="I12" i="32" s="1"/>
  <c r="J12" i="32" s="1"/>
  <c r="C60" i="32"/>
  <c r="D60" i="32" s="1"/>
  <c r="E60" i="32" s="1"/>
  <c r="F60" i="32" s="1"/>
  <c r="G60" i="32" s="1"/>
  <c r="I60" i="32" s="1"/>
  <c r="J60" i="32" s="1"/>
  <c r="C42" i="32"/>
  <c r="D42" i="32" s="1"/>
  <c r="E42" i="32" s="1"/>
  <c r="F42" i="32" s="1"/>
  <c r="G42" i="32" s="1"/>
  <c r="I42" i="32" s="1"/>
  <c r="J42" i="32" s="1"/>
  <c r="C59" i="32"/>
  <c r="D59" i="32" s="1"/>
  <c r="E59" i="32" s="1"/>
  <c r="F59" i="32" s="1"/>
  <c r="G59" i="32" s="1"/>
  <c r="I59" i="32" s="1"/>
  <c r="J59" i="32" s="1"/>
  <c r="H38" i="32"/>
  <c r="H4" i="32"/>
  <c r="H50" i="32"/>
  <c r="I49" i="32"/>
  <c r="I37" i="32"/>
  <c r="I54" i="32"/>
  <c r="I61" i="32"/>
  <c r="J61" i="32" s="1"/>
  <c r="I32" i="32"/>
  <c r="J32" i="32" s="1"/>
  <c r="I11" i="32"/>
  <c r="J11" i="32" s="1"/>
  <c r="I14" i="32"/>
  <c r="J14" i="32" s="1"/>
  <c r="I48" i="32"/>
  <c r="I30" i="32"/>
  <c r="J30" i="32" s="1"/>
  <c r="I44" i="32"/>
  <c r="J44" i="32" s="1"/>
  <c r="I41" i="32"/>
  <c r="J41" i="32" s="1"/>
  <c r="I3" i="32"/>
  <c r="I16" i="32"/>
  <c r="J16" i="32" s="1"/>
  <c r="I21" i="32"/>
  <c r="I67" i="32"/>
  <c r="J67" i="32" s="1"/>
  <c r="I46" i="32"/>
  <c r="J46" i="32" s="1"/>
  <c r="I33" i="32"/>
  <c r="J33" i="32" s="1"/>
  <c r="I15" i="32"/>
  <c r="J15" i="32" s="1"/>
  <c r="E79" i="32"/>
  <c r="I65" i="32"/>
  <c r="J65" i="32" s="1"/>
  <c r="I55" i="32"/>
  <c r="E80" i="32"/>
  <c r="I20" i="32"/>
  <c r="J20" i="32" s="1"/>
  <c r="I6" i="32"/>
  <c r="J6" i="32" s="1"/>
  <c r="J4" i="32"/>
  <c r="I10" i="32"/>
  <c r="J10" i="32" s="1"/>
  <c r="I64" i="32"/>
  <c r="J64" i="32" s="1"/>
  <c r="I31" i="32"/>
  <c r="J31" i="32" s="1"/>
  <c r="J38" i="32"/>
  <c r="I40" i="32"/>
  <c r="J40" i="32" s="1"/>
  <c r="I29" i="32"/>
  <c r="J29" i="32" s="1"/>
  <c r="I7" i="32"/>
  <c r="J7" i="32" s="1"/>
  <c r="I66" i="32"/>
  <c r="J66" i="32" s="1"/>
  <c r="D24" i="31"/>
  <c r="B24" i="31"/>
  <c r="H15" i="32" a="1"/>
  <c r="H25" i="32" a="1"/>
  <c r="H42" i="32" a="1"/>
  <c r="H59" i="32" a="1"/>
  <c r="H31" i="32" a="1"/>
  <c r="H54" i="32" a="1"/>
  <c r="H40" i="33" a="1"/>
  <c r="H14" i="32" a="1"/>
  <c r="H16" i="32" a="1"/>
  <c r="H27" i="32" a="1"/>
  <c r="H47" i="32" a="1"/>
  <c r="H61" i="32" a="1"/>
  <c r="H13" i="33" a="1"/>
  <c r="H24" i="32" a="1"/>
  <c r="H3" i="32" a="1"/>
  <c r="H49" i="32" a="1"/>
  <c r="H55" i="32" a="1"/>
  <c r="H33" i="32" a="1"/>
  <c r="H27" i="33" a="1"/>
  <c r="H43" i="32" a="1"/>
  <c r="H60" i="32" a="1"/>
  <c r="H32" i="32" a="1"/>
  <c r="H52" i="33" a="1"/>
  <c r="H29" i="32" a="1"/>
  <c r="H48" i="32" a="1"/>
  <c r="H8" i="32" a="1"/>
  <c r="H55" i="33" a="1"/>
  <c r="H64" i="32" a="1"/>
  <c r="H62" i="32" a="1"/>
  <c r="H20" i="32" a="1"/>
  <c r="H38" i="33" a="1"/>
  <c r="H26" i="33" a="1"/>
  <c r="H30" i="32" a="1"/>
  <c r="H7" i="32" a="1"/>
  <c r="H12" i="32" a="1"/>
  <c r="H41" i="33" a="1"/>
  <c r="H63" i="32" a="1"/>
  <c r="H9" i="32" a="1"/>
  <c r="H4" i="33" a="1"/>
  <c r="H21" i="32" a="1"/>
  <c r="H28" i="32" a="1"/>
  <c r="H66" i="32" a="1"/>
  <c r="H67" i="32" a="1"/>
  <c r="H58" i="32" a="1"/>
  <c r="H10" i="33" a="1"/>
  <c r="H65" i="32" a="1"/>
  <c r="H41" i="32" a="1"/>
  <c r="H54" i="33" a="1"/>
  <c r="H45" i="32" a="1"/>
  <c r="H37" i="32" a="1"/>
  <c r="H26" i="32" a="1"/>
  <c r="H44" i="32" a="1"/>
  <c r="H11" i="32" a="1"/>
  <c r="H46" i="32" a="1"/>
  <c r="H10" i="32" a="1"/>
  <c r="I8" i="31" l="1"/>
  <c r="B5" i="31" s="1"/>
  <c r="B8" i="31" s="1"/>
  <c r="F81" i="33"/>
  <c r="I56" i="33" s="1"/>
  <c r="J56" i="33" s="1"/>
  <c r="J42" i="33"/>
  <c r="L21" i="33"/>
  <c r="L22" i="33"/>
  <c r="L24" i="33" s="1"/>
  <c r="J28" i="33"/>
  <c r="L20" i="33"/>
  <c r="L23" i="33" s="1"/>
  <c r="H55" i="33"/>
  <c r="H4" i="33"/>
  <c r="H38" i="33"/>
  <c r="H54" i="33"/>
  <c r="H40" i="33"/>
  <c r="H41" i="33"/>
  <c r="H52" i="33"/>
  <c r="H27" i="33"/>
  <c r="H26" i="33"/>
  <c r="H13" i="33"/>
  <c r="H10" i="33"/>
  <c r="E33" i="33"/>
  <c r="F19" i="33"/>
  <c r="G19" i="33" s="1"/>
  <c r="I39" i="33"/>
  <c r="J39" i="33" s="1"/>
  <c r="I53" i="33"/>
  <c r="J53" i="33" s="1"/>
  <c r="F8" i="33"/>
  <c r="G8" i="33" s="1"/>
  <c r="E22" i="33"/>
  <c r="E20" i="33"/>
  <c r="F6" i="33"/>
  <c r="G6" i="33" s="1"/>
  <c r="I18" i="33"/>
  <c r="F32" i="33"/>
  <c r="G32" i="33" s="1"/>
  <c r="E46" i="33"/>
  <c r="F46" i="33" s="1"/>
  <c r="G46" i="33" s="1"/>
  <c r="F9" i="33"/>
  <c r="G9" i="33" s="1"/>
  <c r="E23" i="33"/>
  <c r="F17" i="33"/>
  <c r="G17" i="33" s="1"/>
  <c r="E31" i="33"/>
  <c r="F7" i="33"/>
  <c r="G7" i="33" s="1"/>
  <c r="E21" i="33"/>
  <c r="I5" i="33"/>
  <c r="J5" i="33" s="1"/>
  <c r="E86" i="32"/>
  <c r="E87" i="32" s="1"/>
  <c r="I51" i="32" s="1"/>
  <c r="J51" i="32" s="1"/>
  <c r="F86" i="32"/>
  <c r="F87" i="32" s="1"/>
  <c r="I68" i="32" s="1"/>
  <c r="J68" i="32" s="1"/>
  <c r="D86" i="32"/>
  <c r="D87" i="32" s="1"/>
  <c r="I17" i="32" s="1"/>
  <c r="J17" i="32" s="1"/>
  <c r="H29" i="32"/>
  <c r="H62" i="32"/>
  <c r="H21" i="32"/>
  <c r="H44" i="32"/>
  <c r="H32" i="32"/>
  <c r="H8" i="32"/>
  <c r="H65" i="32"/>
  <c r="H59" i="32"/>
  <c r="H46" i="32"/>
  <c r="H3" i="32"/>
  <c r="H63" i="32"/>
  <c r="H27" i="32"/>
  <c r="H66" i="32"/>
  <c r="H10" i="32"/>
  <c r="H7" i="32"/>
  <c r="H45" i="32"/>
  <c r="H67" i="32"/>
  <c r="H41" i="32"/>
  <c r="H14" i="32"/>
  <c r="H37" i="32"/>
  <c r="H42" i="32"/>
  <c r="H20" i="32"/>
  <c r="H12" i="32"/>
  <c r="H15" i="32"/>
  <c r="H9" i="32"/>
  <c r="H26" i="32"/>
  <c r="H11" i="32"/>
  <c r="H43" i="32"/>
  <c r="H25" i="32"/>
  <c r="H55" i="32"/>
  <c r="H28" i="32"/>
  <c r="H33" i="32"/>
  <c r="H30" i="32"/>
  <c r="H61" i="32"/>
  <c r="H49" i="32"/>
  <c r="H31" i="32"/>
  <c r="H47" i="32"/>
  <c r="H16" i="32"/>
  <c r="H60" i="32"/>
  <c r="H64" i="32"/>
  <c r="H58" i="32"/>
  <c r="H24" i="32"/>
  <c r="H48" i="32"/>
  <c r="H54" i="32"/>
  <c r="I22" i="32"/>
  <c r="J22" i="32" s="1"/>
  <c r="I56" i="32"/>
  <c r="J56" i="32" s="1"/>
  <c r="J54" i="32"/>
  <c r="I5" i="32"/>
  <c r="J5" i="32" s="1"/>
  <c r="J3" i="32"/>
  <c r="I39" i="32"/>
  <c r="J39" i="32" s="1"/>
  <c r="J37" i="32"/>
  <c r="J21" i="32"/>
  <c r="I23" i="32"/>
  <c r="J23" i="32" s="1"/>
  <c r="I57" i="32"/>
  <c r="J57" i="32" s="1"/>
  <c r="J55" i="32"/>
  <c r="H39" i="33" a="1"/>
  <c r="H3" i="33" a="1"/>
  <c r="H53" i="33" a="1"/>
  <c r="H18" i="33" a="1"/>
  <c r="H5" i="33" a="1"/>
  <c r="B6" i="31" l="1"/>
  <c r="C19" i="31" s="1"/>
  <c r="B19" i="31" s="1"/>
  <c r="C21" i="31"/>
  <c r="B28" i="31"/>
  <c r="D8" i="31"/>
  <c r="D6" i="31" s="1"/>
  <c r="B9" i="31"/>
  <c r="C22" i="31" s="1"/>
  <c r="D22" i="31" s="1"/>
  <c r="B7" i="31"/>
  <c r="C20" i="31" s="1"/>
  <c r="B20" i="31" s="1"/>
  <c r="L46" i="33"/>
  <c r="L49" i="33" s="1"/>
  <c r="L48" i="33"/>
  <c r="L50" i="33" s="1"/>
  <c r="L47" i="33"/>
  <c r="L6" i="32"/>
  <c r="L9" i="32" s="1"/>
  <c r="H5" i="33"/>
  <c r="H18" i="33"/>
  <c r="H3" i="33"/>
  <c r="H39" i="33"/>
  <c r="H53" i="33"/>
  <c r="E34" i="33"/>
  <c r="F20" i="33"/>
  <c r="G20" i="33" s="1"/>
  <c r="I32" i="33"/>
  <c r="J32" i="33" s="1"/>
  <c r="E47" i="33"/>
  <c r="F47" i="33" s="1"/>
  <c r="G47" i="33" s="1"/>
  <c r="F33" i="33"/>
  <c r="G33" i="33" s="1"/>
  <c r="J18" i="33"/>
  <c r="I6" i="33"/>
  <c r="J6" i="33" s="1"/>
  <c r="N7" i="33" s="1"/>
  <c r="I7" i="33"/>
  <c r="J7" i="33" s="1"/>
  <c r="F31" i="33"/>
  <c r="E45" i="33"/>
  <c r="F45" i="33" s="1"/>
  <c r="G45" i="33" s="1"/>
  <c r="I17" i="33"/>
  <c r="J17" i="33" s="1"/>
  <c r="F23" i="33"/>
  <c r="G23" i="33" s="1"/>
  <c r="E37" i="33"/>
  <c r="F21" i="33"/>
  <c r="G21" i="33" s="1"/>
  <c r="E35" i="33"/>
  <c r="E36" i="33"/>
  <c r="F22" i="33"/>
  <c r="G22" i="33" s="1"/>
  <c r="I8" i="33"/>
  <c r="J8" i="33" s="1"/>
  <c r="I9" i="33"/>
  <c r="J9" i="33" s="1"/>
  <c r="I46" i="33"/>
  <c r="J46" i="33" s="1"/>
  <c r="I19" i="33"/>
  <c r="J19" i="33" s="1"/>
  <c r="L39" i="32"/>
  <c r="L40" i="32"/>
  <c r="L42" i="32" s="1"/>
  <c r="L38" i="32"/>
  <c r="L58" i="32" s="1"/>
  <c r="N24" i="32"/>
  <c r="N27" i="32" s="1"/>
  <c r="N26" i="32"/>
  <c r="N28" i="32" s="1"/>
  <c r="N25" i="32"/>
  <c r="N8" i="32"/>
  <c r="N10" i="32" s="1"/>
  <c r="N7" i="32"/>
  <c r="N6" i="32"/>
  <c r="N9" i="32" s="1"/>
  <c r="L26" i="32"/>
  <c r="L8" i="32"/>
  <c r="L7" i="32"/>
  <c r="L55" i="32"/>
  <c r="L56" i="32"/>
  <c r="N56" i="32"/>
  <c r="N55" i="32"/>
  <c r="N58" i="32" s="1"/>
  <c r="N57" i="32"/>
  <c r="N59" i="32" s="1"/>
  <c r="L57" i="32"/>
  <c r="L59" i="32" s="1"/>
  <c r="N38" i="32"/>
  <c r="N41" i="32" s="1"/>
  <c r="N40" i="32"/>
  <c r="N42" i="32" s="1"/>
  <c r="N39" i="32"/>
  <c r="L25" i="32"/>
  <c r="L24" i="32"/>
  <c r="L27" i="32" s="1"/>
  <c r="D7" i="31"/>
  <c r="D19" i="31"/>
  <c r="D21" i="31"/>
  <c r="B21" i="31"/>
  <c r="H17" i="33" a="1"/>
  <c r="H7" i="33" a="1"/>
  <c r="H19" i="33" a="1"/>
  <c r="H46" i="33" a="1"/>
  <c r="H9" i="33" a="1"/>
  <c r="H32" i="33" a="1"/>
  <c r="H8" i="33" a="1"/>
  <c r="H6" i="33" a="1"/>
  <c r="D20" i="31" l="1"/>
  <c r="B22" i="31"/>
  <c r="D9" i="31"/>
  <c r="N6" i="33"/>
  <c r="N9" i="33" s="1"/>
  <c r="N8" i="33"/>
  <c r="N10" i="33" s="1"/>
  <c r="H8" i="33"/>
  <c r="H7" i="33"/>
  <c r="H32" i="33"/>
  <c r="H9" i="33"/>
  <c r="H19" i="33"/>
  <c r="H6" i="33"/>
  <c r="H46" i="33"/>
  <c r="H17" i="33"/>
  <c r="I45" i="33"/>
  <c r="I31" i="33"/>
  <c r="I33" i="33"/>
  <c r="J33" i="33" s="1"/>
  <c r="I47" i="33"/>
  <c r="J47" i="33" s="1"/>
  <c r="I22" i="33"/>
  <c r="J22" i="33" s="1"/>
  <c r="L7" i="33"/>
  <c r="E50" i="33"/>
  <c r="F50" i="33" s="1"/>
  <c r="G50" i="33" s="1"/>
  <c r="F36" i="33"/>
  <c r="G36" i="33" s="1"/>
  <c r="L6" i="33"/>
  <c r="F35" i="33"/>
  <c r="G35" i="33" s="1"/>
  <c r="E49" i="33"/>
  <c r="F49" i="33" s="1"/>
  <c r="G49" i="33" s="1"/>
  <c r="I20" i="33"/>
  <c r="I21" i="33"/>
  <c r="J21" i="33" s="1"/>
  <c r="L8" i="33"/>
  <c r="E48" i="33"/>
  <c r="F48" i="33" s="1"/>
  <c r="G48" i="33" s="1"/>
  <c r="F34" i="33"/>
  <c r="G34" i="33" s="1"/>
  <c r="E51" i="33"/>
  <c r="F51" i="33" s="1"/>
  <c r="G51" i="33" s="1"/>
  <c r="F37" i="33"/>
  <c r="G37" i="33" s="1"/>
  <c r="I23" i="33"/>
  <c r="J23" i="33" s="1"/>
  <c r="L41" i="32"/>
  <c r="L28" i="32"/>
  <c r="L10" i="32"/>
  <c r="E6" i="31"/>
  <c r="H23" i="33" a="1"/>
  <c r="H22" i="33" a="1"/>
  <c r="H47" i="33" a="1"/>
  <c r="H20" i="33" a="1"/>
  <c r="H33" i="33" a="1"/>
  <c r="H21" i="33" a="1"/>
  <c r="H45" i="33" a="1"/>
  <c r="L33" i="33" l="1"/>
  <c r="L36" i="33" s="1"/>
  <c r="L35" i="33"/>
  <c r="L37" i="33" s="1"/>
  <c r="L34" i="33"/>
  <c r="H21" i="33"/>
  <c r="H45" i="33"/>
  <c r="H22" i="33"/>
  <c r="H20" i="33"/>
  <c r="H47" i="33"/>
  <c r="H23" i="33"/>
  <c r="H33" i="33"/>
  <c r="I35" i="33"/>
  <c r="J35" i="33" s="1"/>
  <c r="I34" i="33"/>
  <c r="J34" i="33" s="1"/>
  <c r="L9" i="33"/>
  <c r="I48" i="33"/>
  <c r="J48" i="33" s="1"/>
  <c r="I36" i="33"/>
  <c r="J36" i="33" s="1"/>
  <c r="L10" i="33"/>
  <c r="I50" i="33"/>
  <c r="J50" i="33" s="1"/>
  <c r="J45" i="33"/>
  <c r="I51" i="33"/>
  <c r="J51" i="33" s="1"/>
  <c r="J31" i="33"/>
  <c r="J20" i="33"/>
  <c r="I37" i="33"/>
  <c r="J37" i="33" s="1"/>
  <c r="I49" i="33"/>
  <c r="J49" i="33" s="1"/>
  <c r="H49" i="33" a="1"/>
  <c r="H35" i="33" a="1"/>
  <c r="H36" i="33" a="1"/>
  <c r="H34" i="33" a="1"/>
  <c r="H37" i="33" a="1"/>
  <c r="H48" i="33" a="1"/>
  <c r="H50" i="33" a="1"/>
  <c r="H51" i="33" a="1"/>
  <c r="N21" i="33" l="1"/>
  <c r="N22" i="33"/>
  <c r="N24" i="33" s="1"/>
  <c r="N20" i="33"/>
  <c r="N23" i="33" s="1"/>
  <c r="N35" i="33"/>
  <c r="N37" i="33" s="1"/>
  <c r="N33" i="33"/>
  <c r="N36" i="33" s="1"/>
  <c r="N34" i="33"/>
  <c r="N48" i="33"/>
  <c r="N50" i="33" s="1"/>
  <c r="N46" i="33"/>
  <c r="N49" i="33" s="1"/>
  <c r="N47" i="33"/>
  <c r="H35" i="33"/>
  <c r="H49" i="33"/>
  <c r="H37" i="33"/>
  <c r="H51" i="33"/>
  <c r="H48" i="33"/>
  <c r="H50" i="33"/>
  <c r="H34" i="33"/>
  <c r="H36" i="33"/>
  <c r="D15" i="2" l="1"/>
  <c r="D16" i="2"/>
  <c r="D18" i="2"/>
  <c r="D19" i="2"/>
  <c r="D20" i="2"/>
  <c r="D11" i="2" l="1"/>
  <c r="D12" i="2" l="1"/>
  <c r="H10" i="2" l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9" i="2"/>
  <c r="F9" i="2" l="1"/>
  <c r="D10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F10" i="2"/>
  <c r="G10" i="2" s="1"/>
  <c r="F11" i="2"/>
  <c r="G11" i="2" s="1"/>
  <c r="F12" i="2"/>
  <c r="G12" i="2" s="1"/>
  <c r="F13" i="2"/>
  <c r="F14" i="2"/>
  <c r="F15" i="2"/>
  <c r="G15" i="2" s="1"/>
  <c r="F16" i="2"/>
  <c r="G16" i="2" s="1"/>
  <c r="F17" i="2"/>
  <c r="F18" i="2"/>
  <c r="G18" i="2" s="1"/>
  <c r="F19" i="2"/>
  <c r="G19" i="2" s="1"/>
  <c r="F20" i="2"/>
  <c r="G20" i="2" s="1"/>
  <c r="F21" i="2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B4" i="10"/>
  <c r="C4" i="2" l="1" a="1"/>
  <c r="C4" i="2" s="1"/>
  <c r="G9" i="2"/>
  <c r="C6" i="2" a="1"/>
  <c r="C6" i="2" s="1"/>
  <c r="J10" i="2"/>
  <c r="J11" i="2"/>
  <c r="B9" i="10"/>
  <c r="B7" i="2" l="1" a="1"/>
  <c r="B7" i="2" s="1"/>
  <c r="B6" i="2" a="1"/>
  <c r="B6" i="2" s="1"/>
  <c r="D2" i="16" l="1"/>
  <c r="D4" i="16"/>
  <c r="D3" i="16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65" i="14"/>
  <c r="R66" i="14"/>
  <c r="R67" i="14"/>
  <c r="R68" i="14"/>
  <c r="R69" i="14"/>
  <c r="R70" i="14"/>
  <c r="R71" i="14"/>
  <c r="R72" i="14"/>
  <c r="R73" i="14"/>
  <c r="R74" i="14"/>
  <c r="R75" i="14"/>
  <c r="R76" i="14"/>
  <c r="R77" i="14"/>
  <c r="R78" i="14"/>
  <c r="R79" i="14"/>
  <c r="R80" i="14"/>
  <c r="R81" i="14"/>
  <c r="R82" i="14"/>
  <c r="R83" i="14"/>
  <c r="R84" i="14"/>
  <c r="R85" i="14"/>
  <c r="R86" i="14"/>
  <c r="R87" i="14"/>
  <c r="R88" i="14"/>
  <c r="R89" i="14"/>
  <c r="R90" i="14"/>
  <c r="R91" i="14"/>
  <c r="R92" i="14"/>
  <c r="R93" i="14"/>
  <c r="R94" i="14"/>
  <c r="R95" i="14"/>
  <c r="R96" i="14"/>
  <c r="R97" i="14"/>
  <c r="R98" i="14"/>
  <c r="R99" i="14"/>
  <c r="R100" i="14"/>
  <c r="R101" i="14"/>
  <c r="R102" i="14"/>
  <c r="R103" i="14"/>
  <c r="R104" i="14"/>
  <c r="R105" i="14"/>
  <c r="R106" i="14"/>
  <c r="R107" i="14"/>
  <c r="R108" i="14"/>
  <c r="R109" i="14"/>
  <c r="R110" i="14"/>
  <c r="R111" i="14"/>
  <c r="R112" i="14"/>
  <c r="R113" i="14"/>
  <c r="R114" i="14"/>
  <c r="R115" i="14"/>
  <c r="R116" i="14"/>
  <c r="R117" i="14"/>
  <c r="R118" i="14"/>
  <c r="R119" i="14"/>
  <c r="R120" i="14"/>
  <c r="R121" i="14"/>
  <c r="R122" i="14"/>
  <c r="R123" i="14"/>
  <c r="R124" i="14"/>
  <c r="R125" i="14"/>
  <c r="R126" i="14"/>
  <c r="R127" i="14"/>
  <c r="R128" i="14"/>
  <c r="R129" i="14"/>
  <c r="R7" i="14"/>
  <c r="R8" i="14"/>
  <c r="R9" i="14"/>
  <c r="R10" i="14"/>
  <c r="R11" i="14"/>
  <c r="R12" i="14"/>
  <c r="D5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Izidor Ostan Ožbolt</author>
  </authors>
  <commentList>
    <comment ref="B5" authorId="0" shapeId="0" xr:uid="{4118A580-238F-433F-B931-B3649235A975}">
      <text>
        <r>
          <rPr>
            <b/>
            <sz val="9"/>
            <color indexed="81"/>
            <rFont val="Tahoma"/>
            <family val="2"/>
            <charset val="238"/>
          </rPr>
          <t>Izidor Ostan Ožbolt:</t>
        </r>
        <r>
          <rPr>
            <sz val="9"/>
            <color indexed="81"/>
            <rFont val="Tahoma"/>
            <family val="2"/>
            <charset val="238"/>
          </rPr>
          <t xml:space="preserve">
Formula za izračun povprečnega CF, če imaš trikotno distribucijo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Izidor Ostan Ožbolt</author>
  </authors>
  <commentList>
    <comment ref="B1" authorId="0" shapeId="0" xr:uid="{2A5012B0-E595-49FD-93B8-49C69F853AF9}">
      <text>
        <r>
          <rPr>
            <b/>
            <sz val="9"/>
            <color indexed="81"/>
            <rFont val="Tahoma"/>
            <family val="2"/>
            <charset val="238"/>
          </rPr>
          <t>Izidor Ostan Ožbolt:</t>
        </r>
        <r>
          <rPr>
            <sz val="9"/>
            <color indexed="81"/>
            <rFont val="Tahoma"/>
            <family val="2"/>
            <charset val="238"/>
          </rPr>
          <t xml:space="preserve">
Vzameš letno povprečje od cost escalation rate-ov od leta 1996 naprej  </t>
        </r>
      </text>
    </comment>
    <comment ref="B3" authorId="0" shapeId="0" xr:uid="{F175C068-B30F-4BDA-AE15-8BABCAF6F055}">
      <text>
        <r>
          <rPr>
            <b/>
            <sz val="9"/>
            <color indexed="81"/>
            <rFont val="Tahoma"/>
            <family val="2"/>
            <charset val="238"/>
          </rPr>
          <t>Izidor Ostan Ožbolt:</t>
        </r>
        <r>
          <rPr>
            <sz val="9"/>
            <color indexed="81"/>
            <rFont val="Tahoma"/>
            <family val="2"/>
            <charset val="238"/>
          </rPr>
          <t xml:space="preserve">
GEN Energija podatek, povečan za 1 (zamude) in zmanjšan za 0,5 ker mogoče kje kaj pri času gradnje prevelike cifre</t>
        </r>
      </text>
    </comment>
    <comment ref="B5" authorId="0" shapeId="0" xr:uid="{32432468-FBBD-4302-8C0B-E7C1C7F72A39}">
      <text>
        <r>
          <rPr>
            <b/>
            <sz val="9"/>
            <color indexed="81"/>
            <rFont val="Tahoma"/>
            <family val="2"/>
            <charset val="238"/>
          </rPr>
          <t>Izidor Ostan Ožbolt:</t>
        </r>
        <r>
          <rPr>
            <sz val="9"/>
            <color indexed="81"/>
            <rFont val="Tahoma"/>
            <family val="2"/>
            <charset val="238"/>
          </rPr>
          <t xml:space="preserve">
Vir GEN Energija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Izidor Ostan Ožbolt</author>
  </authors>
  <commentList>
    <comment ref="B7" authorId="0" shapeId="0" xr:uid="{397538D3-CB8E-4073-B1AC-04E6458CC9BD}">
      <text>
        <r>
          <rPr>
            <b/>
            <sz val="9"/>
            <color indexed="81"/>
            <rFont val="Tahoma"/>
            <family val="2"/>
            <charset val="238"/>
          </rPr>
          <t>Izidor Ostan Ožbolt:</t>
        </r>
        <r>
          <rPr>
            <sz val="9"/>
            <color indexed="81"/>
            <rFont val="Tahoma"/>
            <family val="2"/>
            <charset val="238"/>
          </rPr>
          <t xml:space="preserve">
Že v EUR/kW</t>
        </r>
      </text>
    </comment>
    <comment ref="B9" authorId="0" shapeId="0" xr:uid="{1B7E094C-9F76-4516-B068-3A141CBA77D3}">
      <text>
        <r>
          <rPr>
            <b/>
            <sz val="9"/>
            <color indexed="81"/>
            <rFont val="Tahoma"/>
            <family val="2"/>
            <charset val="238"/>
          </rPr>
          <t>Izidor Ostan Ožbolt:</t>
        </r>
        <r>
          <rPr>
            <sz val="9"/>
            <color indexed="81"/>
            <rFont val="Tahoma"/>
            <family val="2"/>
            <charset val="238"/>
          </rPr>
          <t xml:space="preserve">
Stroškovna cena JEK2 1200 MW - stroški za gorivo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EIMVuser</author>
    <author>Izidor Ostan Ožbolt</author>
  </authors>
  <commentList>
    <comment ref="L3" authorId="0" shapeId="0" xr:uid="{387502D3-6F70-454A-B522-D21905B63533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Učbenik 3% in gen energija 1,5%</t>
        </r>
      </text>
    </comment>
    <comment ref="L11" authorId="0" shapeId="0" xr:uid="{A6611FC2-7E83-4F78-B076-20F8417C549B}">
      <text>
        <r>
          <rPr>
            <b/>
            <sz val="9"/>
            <color indexed="81"/>
            <rFont val="Tahoma"/>
            <family val="2"/>
            <charset val="238"/>
          </rPr>
          <t>EIMVuser:</t>
        </r>
        <r>
          <rPr>
            <sz val="9"/>
            <color indexed="81"/>
            <rFont val="Tahoma"/>
            <family val="2"/>
            <charset val="238"/>
          </rPr>
          <t xml:space="preserve">
Upoštevani so NSRAO + VRAO za tri velikosti moči reaktorjev</t>
        </r>
      </text>
    </comment>
    <comment ref="C14" authorId="0" shapeId="0" xr:uid="{0F4F48FB-5EFE-4D6B-84B5-D061FAB1088A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Vrednosti iz Tabele 35 - GEN
</t>
        </r>
      </text>
    </comment>
    <comment ref="C15" authorId="0" shapeId="0" xr:uid="{F50BBE16-69AE-4176-99B4-0638F2702A47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Vrednosti iz Tabele 35 - GEN
</t>
        </r>
      </text>
    </comment>
    <comment ref="L30" authorId="0" shapeId="0" xr:uid="{387A2FC6-279A-48AC-ABAC-04401466FF83}">
      <text>
        <r>
          <rPr>
            <b/>
            <sz val="9"/>
            <color indexed="81"/>
            <rFont val="Tahoma"/>
            <family val="2"/>
            <charset val="238"/>
          </rPr>
          <t>EIMVuser:</t>
        </r>
        <r>
          <rPr>
            <sz val="9"/>
            <color indexed="81"/>
            <rFont val="Tahoma"/>
            <family val="2"/>
            <charset val="238"/>
          </rPr>
          <t xml:space="preserve">
Upoštevani so NSRAO + VRAO za tri velikosti moči reaktorjev</t>
        </r>
      </text>
    </comment>
    <comment ref="C31" authorId="0" shapeId="0" xr:uid="{6BB28C69-E6CE-46EA-9339-9CDD75FF0867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Vrednosti iz Tabele 35 - GEN
</t>
        </r>
      </text>
    </comment>
    <comment ref="C32" authorId="0" shapeId="0" xr:uid="{07818B4B-7E30-49EF-B8BB-CFC085475807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Vrednosti iz Tabele 35 - GEN
</t>
        </r>
      </text>
    </comment>
    <comment ref="L44" authorId="0" shapeId="0" xr:uid="{FDF62265-7809-4BB9-B57C-D6C125A86092}">
      <text>
        <r>
          <rPr>
            <b/>
            <sz val="9"/>
            <color indexed="81"/>
            <rFont val="Tahoma"/>
            <family val="2"/>
            <charset val="238"/>
          </rPr>
          <t>EIMVuser:</t>
        </r>
        <r>
          <rPr>
            <sz val="9"/>
            <color indexed="81"/>
            <rFont val="Tahoma"/>
            <family val="2"/>
            <charset val="238"/>
          </rPr>
          <t xml:space="preserve">
Upoštevani so NSRAO + VRAO za tri velikosti moči reaktorjev</t>
        </r>
      </text>
    </comment>
    <comment ref="C48" authorId="0" shapeId="0" xr:uid="{E8C65093-3F27-428F-8D34-CEAD1E39200C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Vrednosti iz Tabele 35 - GEN
</t>
        </r>
      </text>
    </comment>
    <comment ref="C49" authorId="0" shapeId="0" xr:uid="{4280AB63-393C-403B-A962-8025DD8F01C2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Vrednosti iz Tabele 35 - GEN
</t>
        </r>
      </text>
    </comment>
    <comment ref="L61" authorId="0" shapeId="0" xr:uid="{95361218-6A35-45D2-A8A1-D7FF1D27FB6C}">
      <text>
        <r>
          <rPr>
            <b/>
            <sz val="9"/>
            <color indexed="81"/>
            <rFont val="Tahoma"/>
            <family val="2"/>
            <charset val="238"/>
          </rPr>
          <t>EIMVuser:</t>
        </r>
        <r>
          <rPr>
            <sz val="9"/>
            <color indexed="81"/>
            <rFont val="Tahoma"/>
            <family val="2"/>
            <charset val="238"/>
          </rPr>
          <t xml:space="preserve">
Upoštevani so NSRAO + VRAO za tri velikosti moči reaktorjev</t>
        </r>
      </text>
    </comment>
    <comment ref="C65" authorId="0" shapeId="0" xr:uid="{1246BE8A-234D-4A4A-A218-A5368E18709C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Vrednosti iz Tabele 35 - GEN
</t>
        </r>
      </text>
    </comment>
    <comment ref="C66" authorId="0" shapeId="0" xr:uid="{07C1CCD6-414C-4541-8501-3660036A7C48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Vrednosti iz Tabele 35 - GEN
</t>
        </r>
      </text>
    </comment>
    <comment ref="C84" authorId="1" shapeId="0" xr:uid="{B873C046-83A9-4E1D-BBB1-223771518FC1}">
      <text>
        <r>
          <rPr>
            <b/>
            <sz val="9"/>
            <color indexed="81"/>
            <rFont val="Tahoma"/>
            <family val="2"/>
            <charset val="238"/>
          </rPr>
          <t>Izidor Ostan Ožbolt:</t>
        </r>
        <r>
          <rPr>
            <sz val="9"/>
            <color indexed="81"/>
            <rFont val="Tahoma"/>
            <family val="2"/>
            <charset val="238"/>
          </rPr>
          <t xml:space="preserve">
Popravljeno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EIMVuser</author>
  </authors>
  <commentList>
    <comment ref="L3" authorId="0" shapeId="0" xr:uid="{4FBE6AB4-AB70-4397-8887-27A16E5BBA50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Učbenik 3% in gen energija 1,5%</t>
        </r>
      </text>
    </comment>
    <comment ref="F11" authorId="0" shapeId="0" xr:uid="{CC98BD21-91F5-4706-97BA-66163C0C3582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Escalation rate = 0 % ?</t>
        </r>
      </text>
    </comment>
    <comment ref="C12" authorId="0" shapeId="0" xr:uid="{535F7C0C-85BB-4EE5-8B80-AB44567CD678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Vrednosti iz Tabele 35 - GEN
</t>
        </r>
      </text>
    </comment>
    <comment ref="D12" authorId="0" shapeId="0" xr:uid="{0C098311-E8CB-48D2-ACF6-56266F0B541B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Delež celotne predvidene cene, ki pade na razgradnjo je 67,7%</t>
        </r>
      </text>
    </comment>
    <comment ref="C13" authorId="0" shapeId="0" xr:uid="{9FB92317-0BE7-4E10-B097-0D6E1C70635B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Vrednosti iz Tabele 35 - GEN
</t>
        </r>
      </text>
    </comment>
    <comment ref="D13" authorId="0" shapeId="0" xr:uid="{79F9C831-8670-41A4-82D9-86E4FA12A9CD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Delež celotne predvidene cene, ki pade na razgradnjo je 67,7%</t>
        </r>
      </text>
    </comment>
    <comment ref="F25" authorId="0" shapeId="0" xr:uid="{F9601621-A01F-4E2D-AC25-8E7C2FA0CBF5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Escalation rate = 0 % ?</t>
        </r>
      </text>
    </comment>
    <comment ref="C26" authorId="0" shapeId="0" xr:uid="{D9E3B92F-B415-440E-A329-3D89C8FB1674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Vrednosti iz Tabele 35 - GEN
</t>
        </r>
      </text>
    </comment>
    <comment ref="C27" authorId="0" shapeId="0" xr:uid="{1ECC6053-6EA8-40E1-B001-994321A3A858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Vrednosti iz Tabele 35 - GEN
</t>
        </r>
      </text>
    </comment>
    <comment ref="F39" authorId="0" shapeId="0" xr:uid="{DFBB11EF-3483-4A67-88EB-35FC1EF3A480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Escalation rate = 0 % ?</t>
        </r>
      </text>
    </comment>
    <comment ref="C40" authorId="0" shapeId="0" xr:uid="{3D79B38D-B936-47D7-A843-1956AB39A780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Vrednosti iz Tabele 35 - GEN
</t>
        </r>
      </text>
    </comment>
    <comment ref="C41" authorId="0" shapeId="0" xr:uid="{4EA638B7-6FF6-4183-A812-A0B3F2C99AF9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Vrednosti iz Tabele 35 - GEN
</t>
        </r>
      </text>
    </comment>
    <comment ref="F53" authorId="0" shapeId="0" xr:uid="{B17F9AA5-B3D9-49DD-862D-460321C0062D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Escalation rate = 0 % ?</t>
        </r>
      </text>
    </comment>
    <comment ref="C54" authorId="0" shapeId="0" xr:uid="{9C7D9CFA-B92F-49AF-B84E-950050BF2A72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Vrednosti iz Tabele 35 - GEN
</t>
        </r>
      </text>
    </comment>
    <comment ref="C55" authorId="0" shapeId="0" xr:uid="{01F0B519-AE6A-4166-8A99-C3107FC7FB8D}">
      <text>
        <r>
          <rPr>
            <b/>
            <sz val="9"/>
            <color indexed="81"/>
            <rFont val="Tahoma"/>
            <family val="2"/>
          </rPr>
          <t>EIMVuser:</t>
        </r>
        <r>
          <rPr>
            <sz val="9"/>
            <color indexed="81"/>
            <rFont val="Tahoma"/>
            <family val="2"/>
          </rPr>
          <t xml:space="preserve">
Vrednosti iz Tabele 35 - GEN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<sst xmlns="http://schemas.openxmlformats.org/spreadsheetml/2006/main" count="1026" uniqueCount="447">
  <si>
    <t>Cost escalation rate during preconstruction and construction period (r) [%]</t>
  </si>
  <si>
    <t>Real cost escalation [%]</t>
  </si>
  <si>
    <t>Real escalation rate  [%/year]</t>
  </si>
  <si>
    <t>Min</t>
  </si>
  <si>
    <t>Mean</t>
  </si>
  <si>
    <t>Max</t>
  </si>
  <si>
    <t>STRUKTURA FINANCIRANJA</t>
  </si>
  <si>
    <t>Delež</t>
  </si>
  <si>
    <t>Ročnost</t>
  </si>
  <si>
    <t>Krediti pri bankah z in brez državnega poroštva</t>
  </si>
  <si>
    <t>Obveznice (dolžniški vrednostni papirji)</t>
  </si>
  <si>
    <t>1000 MW</t>
  </si>
  <si>
    <t>1250 MW</t>
  </si>
  <si>
    <t>1650 MW</t>
  </si>
  <si>
    <t>Podaljšanje življenske dobe do 80 let</t>
  </si>
  <si>
    <t>Fiksni O&amp;M 0-20 [EUR/kW]</t>
  </si>
  <si>
    <t>Fiksni O&amp;M 21-40 [EUR/kW]</t>
  </si>
  <si>
    <t>Fiksni O&amp;M 41-60 [EUR/kW]</t>
  </si>
  <si>
    <t>Fiksni O&amp;M 61-80 [EUR/kW]</t>
  </si>
  <si>
    <t>Share of Fiskni =%M 41-60</t>
  </si>
  <si>
    <t>Average</t>
  </si>
  <si>
    <t>Izračun po deležih</t>
  </si>
  <si>
    <t>str 8 https://inldigitallibrary.inl.gov/sites/sti/sti/Sort_107010.pdf</t>
  </si>
  <si>
    <t>Fuel cost min [EUR2024/MWh]</t>
  </si>
  <si>
    <t>Fuel cost mean [EUR2024/MWh]</t>
  </si>
  <si>
    <t>Fuel cost max [EUR2024/MWh]</t>
  </si>
  <si>
    <t>Delež pojavljanja [%]</t>
  </si>
  <si>
    <t>Potrdilo o izvoru - prihodek [EUR/MWh]</t>
  </si>
  <si>
    <t>Scenarij nizka cena</t>
  </si>
  <si>
    <t>Scenarij srednja cena</t>
  </si>
  <si>
    <t>Scenarij visoka cena</t>
  </si>
  <si>
    <t>Pogostnost pojavljanja [%]</t>
  </si>
  <si>
    <t>Standardna deviacija</t>
  </si>
  <si>
    <t>Možnost, da se zgodi izjemen skok v cenah [%]</t>
  </si>
  <si>
    <t>Temelin 4 (Češka)</t>
  </si>
  <si>
    <t>Generation III+</t>
  </si>
  <si>
    <t>Temelin 3 (Češka)</t>
  </si>
  <si>
    <t>Dukovany 6 (Češka)</t>
  </si>
  <si>
    <t>Dukovany 5 (Češka)</t>
  </si>
  <si>
    <t>Generation II (Upgraded in the 1980s,1990s and 2000s after Chernobyl)</t>
  </si>
  <si>
    <t>Olkiluoto 3</t>
  </si>
  <si>
    <t>PWR (EPR-1600)</t>
  </si>
  <si>
    <t>Hanhikivi 1</t>
  </si>
  <si>
    <t>Olkiluoto 4</t>
  </si>
  <si>
    <t>Patnow 2 (Poljska)</t>
  </si>
  <si>
    <t>Patnow 1 (Poljska)</t>
  </si>
  <si>
    <t>Lubiatowa-Kopalina 3</t>
  </si>
  <si>
    <t>PWR (AP1000)</t>
  </si>
  <si>
    <t>Lubiatowa-Kopalina 2</t>
  </si>
  <si>
    <t>Lubiatowa-Kopalina 1</t>
  </si>
  <si>
    <t>Planned</t>
  </si>
  <si>
    <t>PHWR (CANDU 6)</t>
  </si>
  <si>
    <t>/</t>
  </si>
  <si>
    <t>Kozloduy 8</t>
  </si>
  <si>
    <t>Kozloduy 7</t>
  </si>
  <si>
    <t>New energy strategy-1NPP</t>
  </si>
  <si>
    <t>Borssele 2</t>
  </si>
  <si>
    <t>JEK 2</t>
  </si>
  <si>
    <t>Penly 2</t>
  </si>
  <si>
    <t>Penly 1</t>
  </si>
  <si>
    <t>Gravelines 2</t>
  </si>
  <si>
    <t>Gravelines 1</t>
  </si>
  <si>
    <t>Bugey 2</t>
  </si>
  <si>
    <t>Bugey 1</t>
  </si>
  <si>
    <t>Flamanville 3</t>
  </si>
  <si>
    <t>PWR (N4 REP 1450)</t>
  </si>
  <si>
    <t>Chooz B-2</t>
  </si>
  <si>
    <t>Chooz B-1</t>
  </si>
  <si>
    <t>Golfech-2</t>
  </si>
  <si>
    <t>PWR (P4 REP 1300)</t>
  </si>
  <si>
    <t>Penly-2</t>
  </si>
  <si>
    <t>Cattenom-4</t>
  </si>
  <si>
    <t>Cattenom-3</t>
  </si>
  <si>
    <t>Golfech-1</t>
  </si>
  <si>
    <t>Nogent-2</t>
  </si>
  <si>
    <t>Belleville-2</t>
  </si>
  <si>
    <t>Chinon B-4</t>
  </si>
  <si>
    <t>PWR (CP2)</t>
  </si>
  <si>
    <t>Nogent-1</t>
  </si>
  <si>
    <t>Belleville-1</t>
  </si>
  <si>
    <t>Cattenom-2</t>
  </si>
  <si>
    <t>UK</t>
  </si>
  <si>
    <t>Bradwell 2</t>
  </si>
  <si>
    <t>Hualong one</t>
  </si>
  <si>
    <t>Bradwell 1</t>
  </si>
  <si>
    <t>Sizewell C2</t>
  </si>
  <si>
    <t>Sizewell C1</t>
  </si>
  <si>
    <t>Hinkley Point C1</t>
  </si>
  <si>
    <t>Hinkley Point C2</t>
  </si>
  <si>
    <t>Sizewell B</t>
  </si>
  <si>
    <t>PWR (SNUPPS)</t>
  </si>
  <si>
    <t>Torness-2</t>
  </si>
  <si>
    <t>GCR (AGR)</t>
  </si>
  <si>
    <t>Heysham B-2</t>
  </si>
  <si>
    <t>Heysham B-1</t>
  </si>
  <si>
    <t>US</t>
  </si>
  <si>
    <t>Turkey point 7</t>
  </si>
  <si>
    <t>PWR (AP-1000)</t>
  </si>
  <si>
    <t>Turkey point 6</t>
  </si>
  <si>
    <t>Fermi 3</t>
  </si>
  <si>
    <t>ESBWR</t>
  </si>
  <si>
    <t>North Anna</t>
  </si>
  <si>
    <t>Clinch River</t>
  </si>
  <si>
    <t>Bellefonte 2</t>
  </si>
  <si>
    <t>PWR (B&amp;W)</t>
  </si>
  <si>
    <t>Bellefonte 1</t>
  </si>
  <si>
    <t>Salem 3</t>
  </si>
  <si>
    <t>Vogtle-4</t>
  </si>
  <si>
    <t>Vogtle-3</t>
  </si>
  <si>
    <t>Watts bar-2</t>
  </si>
  <si>
    <t>PWR (WH 4LP (ICECND))</t>
  </si>
  <si>
    <t>Watts bar-1</t>
  </si>
  <si>
    <t>Comanche peak-2</t>
  </si>
  <si>
    <t>PWR (WH 4LP (DRYAMB))</t>
  </si>
  <si>
    <t>Seabrook-1</t>
  </si>
  <si>
    <t>Comanche peak-1</t>
  </si>
  <si>
    <t>Limerick-2</t>
  </si>
  <si>
    <t>BWR (BWR-4 (Mark 2))</t>
  </si>
  <si>
    <t>South texas-2</t>
  </si>
  <si>
    <t>Vogtle-2</t>
  </si>
  <si>
    <t>Braidwood-2</t>
  </si>
  <si>
    <t>South texas-1</t>
  </si>
  <si>
    <t>Palo Verde-3</t>
  </si>
  <si>
    <t>PWR (CE80 2LP (DRYAMB))</t>
  </si>
  <si>
    <t>Beaver valley-2</t>
  </si>
  <si>
    <t>PWR (WH 3LP (DRYSUB))</t>
  </si>
  <si>
    <t>Nine mile point-2</t>
  </si>
  <si>
    <t>BWR (BWR-5 (Mark 2))</t>
  </si>
  <si>
    <t>Braidwood-1</t>
  </si>
  <si>
    <t>Clinton-1</t>
  </si>
  <si>
    <t>BWR (BWR-6 (Mark 3))</t>
  </si>
  <si>
    <t>Vogtle-1</t>
  </si>
  <si>
    <t>Byron-2</t>
  </si>
  <si>
    <t>Harris-1</t>
  </si>
  <si>
    <t>PWR (WH 3LP (DRYAMB))</t>
  </si>
  <si>
    <t>SOUTH KOREA</t>
  </si>
  <si>
    <t>Shin Hanul 4</t>
  </si>
  <si>
    <t>PWR (APR-1400)</t>
  </si>
  <si>
    <t>Shin Hanul 3</t>
  </si>
  <si>
    <t>Shin Hanul 2</t>
  </si>
  <si>
    <t>Shin Hanul 1</t>
  </si>
  <si>
    <t>Saeul 2</t>
  </si>
  <si>
    <t>Saeul 1</t>
  </si>
  <si>
    <t>Shin Wolsong-2</t>
  </si>
  <si>
    <t>PWR (OPR-1000)</t>
  </si>
  <si>
    <t>Shin Kori-2</t>
  </si>
  <si>
    <t>Shin Wolsong-1</t>
  </si>
  <si>
    <t>Shin Kori 1</t>
  </si>
  <si>
    <t>Hanul-6</t>
  </si>
  <si>
    <t>Hanul-5</t>
  </si>
  <si>
    <t>Hanbit-6</t>
  </si>
  <si>
    <t>Hanbit-5</t>
  </si>
  <si>
    <t>Wolsong-4</t>
  </si>
  <si>
    <t>Hanul-4</t>
  </si>
  <si>
    <t>Wolsong-3</t>
  </si>
  <si>
    <t>Wolsong-2</t>
  </si>
  <si>
    <t>Hanbit-4</t>
  </si>
  <si>
    <t>Hanbit-3</t>
  </si>
  <si>
    <t>Hanul-2</t>
  </si>
  <si>
    <t>PWR (France CPI)</t>
  </si>
  <si>
    <t>Hanul-1</t>
  </si>
  <si>
    <t>JAPAN</t>
  </si>
  <si>
    <t>Tsuruga 3</t>
  </si>
  <si>
    <t>Generation III</t>
  </si>
  <si>
    <t>APWR</t>
  </si>
  <si>
    <t>Tsuruga 4</t>
  </si>
  <si>
    <t>Kaminoseki 1</t>
  </si>
  <si>
    <t>ABWR</t>
  </si>
  <si>
    <t>Sendai 3</t>
  </si>
  <si>
    <t>Higashidori 2 - Tepco</t>
  </si>
  <si>
    <t>Hamaoka 6</t>
  </si>
  <si>
    <t>Higashidori 2 - Tohoku</t>
  </si>
  <si>
    <t>Kaminoseki 2</t>
  </si>
  <si>
    <t>Higashidori 1</t>
  </si>
  <si>
    <t>Ohma 1</t>
  </si>
  <si>
    <t>Shimane 3</t>
  </si>
  <si>
    <t>Higashidori 2</t>
  </si>
  <si>
    <t>Shika 1</t>
  </si>
  <si>
    <t>Generation II</t>
  </si>
  <si>
    <t>BWR-5</t>
  </si>
  <si>
    <t>Tomari-3</t>
  </si>
  <si>
    <t>PWR (M (3-loop))</t>
  </si>
  <si>
    <t>Shika-2</t>
  </si>
  <si>
    <t>BWR (ABWR)</t>
  </si>
  <si>
    <t>Higashi Dori-1</t>
  </si>
  <si>
    <t>BWR (BWR-5)</t>
  </si>
  <si>
    <t>Hamaoka-5</t>
  </si>
  <si>
    <t>Onagawa-3</t>
  </si>
  <si>
    <t>Kashiwazaki kariwa-7</t>
  </si>
  <si>
    <t>Genkai-4</t>
  </si>
  <si>
    <t>PWR (M (4-loop))</t>
  </si>
  <si>
    <t>Kashiwazaki kariwa-6</t>
  </si>
  <si>
    <t>Onagawa-2</t>
  </si>
  <si>
    <t>Ikata-3</t>
  </si>
  <si>
    <t>Kashiwazaki kariwa-4</t>
  </si>
  <si>
    <t>Genkai-3</t>
  </si>
  <si>
    <t>Hamaoka-4</t>
  </si>
  <si>
    <t>Kashiwazaki kariwa-3</t>
  </si>
  <si>
    <t>Ohi-4</t>
  </si>
  <si>
    <t>Ohi-3</t>
  </si>
  <si>
    <t>Tomari-2</t>
  </si>
  <si>
    <t>PWR (M (2-loop))</t>
  </si>
  <si>
    <t>Kashiwazaki kariwa-2</t>
  </si>
  <si>
    <t>Kashiwazaki kariwa-5</t>
  </si>
  <si>
    <t>Tomari-1</t>
  </si>
  <si>
    <t>Shimane-2</t>
  </si>
  <si>
    <t>Hamaoka-3</t>
  </si>
  <si>
    <t>CANADA</t>
  </si>
  <si>
    <t>Darlington-4</t>
  </si>
  <si>
    <t>PHWR (CANDU 850)</t>
  </si>
  <si>
    <t>Darlington-3</t>
  </si>
  <si>
    <t>Darlington-1</t>
  </si>
  <si>
    <t>Darlington-2</t>
  </si>
  <si>
    <t>Bruce-8</t>
  </si>
  <si>
    <t>PHWR (CANDU 750B)</t>
  </si>
  <si>
    <t>Standardna deviacija stran od srednje vrednosti [% od srednje vrednosti]</t>
  </si>
  <si>
    <t>študija</t>
  </si>
  <si>
    <t>Triangularna porazdelitev</t>
  </si>
  <si>
    <t>Višina realnih cen, če do skoka pride - min [EUR/MWh]</t>
  </si>
  <si>
    <t>Višina realnih cen, če do skoka pride - mean [EUR/MWh]</t>
  </si>
  <si>
    <t>Višina realnih cen, če do skoka pride - max [EUR/MWh]</t>
  </si>
  <si>
    <t>Normalna porazdelitev - tuja (desno) in GEN Energija študija</t>
  </si>
  <si>
    <t>Cene vzete iz grafa ob pomoči  ekstrakcije podatkov iz grafa</t>
  </si>
  <si>
    <t>Zbrali nemške mesečne futurse, ki so 120 EUR/MWh ali višji, saj je 2SD od scenarija z visoko ceno 121 EUR/MWh meja</t>
  </si>
  <si>
    <t>Življenska doba [let]</t>
  </si>
  <si>
    <t>40 LET</t>
  </si>
  <si>
    <t>Finančni podatki</t>
  </si>
  <si>
    <t>Jedrska elektrarna</t>
  </si>
  <si>
    <t>Moč reaktorja (MW)</t>
  </si>
  <si>
    <t>Cena razgradnje 2024 (mio. €)</t>
  </si>
  <si>
    <t>Cena razgradnje 2024 [EUR]</t>
  </si>
  <si>
    <t>Cena razgradnje povečana za escalation rate (y + 40)</t>
  </si>
  <si>
    <t>Letno plačilo, da v 40 letih pridemo do končne investicijske vrednosti</t>
  </si>
  <si>
    <t>Preverba, da prideš do istih cifer</t>
  </si>
  <si>
    <t>Strošek (€/MW/leto)</t>
  </si>
  <si>
    <t>Povprečje let</t>
  </si>
  <si>
    <t>Inflacija iz leta 2020 do sredine 2024</t>
  </si>
  <si>
    <t>Inflacija iz leta 2021 do sredine 2024</t>
  </si>
  <si>
    <t>Inflacija iz leta 2023 do sredine 2024</t>
  </si>
  <si>
    <t>Fessenheim 1,2 (Francija)</t>
  </si>
  <si>
    <t>808 (2021)</t>
  </si>
  <si>
    <t>Chooz-A (Francija)</t>
  </si>
  <si>
    <t>280 (2021)</t>
  </si>
  <si>
    <t>Super-Phenix (Francija)</t>
  </si>
  <si>
    <t>520.5 (2021)</t>
  </si>
  <si>
    <t>Obrigheim (Nemčija)</t>
  </si>
  <si>
    <t>630.4 (2020)</t>
  </si>
  <si>
    <t>Muelheim-Kaerlich (Nemčija)</t>
  </si>
  <si>
    <t>761.7 (2020)</t>
  </si>
  <si>
    <t>Greifswald 1-5 (Nemčija)</t>
  </si>
  <si>
    <t>4202.4 (2020)</t>
  </si>
  <si>
    <t>Beznau 1, 2 (Švica)</t>
  </si>
  <si>
    <t>887,5 (2020)</t>
  </si>
  <si>
    <t>Gosgen (Švica)</t>
  </si>
  <si>
    <t>835.2 (2020)</t>
  </si>
  <si>
    <t>JEK1</t>
  </si>
  <si>
    <t>JEK2*</t>
  </si>
  <si>
    <t>* povprečje treh vrednosti</t>
  </si>
  <si>
    <t>60 LET</t>
  </si>
  <si>
    <t>Leta</t>
  </si>
  <si>
    <t>Cena razgradnje povečana za escalation rate (y + 60)</t>
  </si>
  <si>
    <t>Letno plačilo, da v 60 letih pridemo do končne investicijske vrednosti</t>
  </si>
  <si>
    <t>80 LET</t>
  </si>
  <si>
    <t>Cena razgradnje povečana za escalation rate (y + 80)</t>
  </si>
  <si>
    <t>Letno plačilo, da v 80 letih pridemo do končne investicijske vrednosti</t>
  </si>
  <si>
    <t>Cena razgradnje 2020-2023 (mio. €)</t>
  </si>
  <si>
    <t>Min distribucije</t>
  </si>
  <si>
    <t>Max distribucije</t>
  </si>
  <si>
    <t>Davek od dohodkov pravnih oseb (DDPO)</t>
  </si>
  <si>
    <t>Cena ravnanja z odpadki 2020-2023 (mio. €)</t>
  </si>
  <si>
    <t>Cena ravnanja z odpadki 2024 (mio. €)</t>
  </si>
  <si>
    <t>Cena ravnanja z odpadki 2024 [EUR]</t>
  </si>
  <si>
    <t>Cena ravnanja z odpadki povečana za escalation rate (y + 40)</t>
  </si>
  <si>
    <t>Inflacija iz leta 2022 do sredine 2024</t>
  </si>
  <si>
    <t>Loviisa-2 (Finska)</t>
  </si>
  <si>
    <t>Olkiluoto-3 (Finska)</t>
  </si>
  <si>
    <t>Barseback 2 (Švedska)</t>
  </si>
  <si>
    <t>Forsmark 2 (Švedska)</t>
  </si>
  <si>
    <t>Forsmark 3 (Švedska)</t>
  </si>
  <si>
    <t>Oskarshamn 3 (Švedska)</t>
  </si>
  <si>
    <t>Ringhals 3 (Švedska)</t>
  </si>
  <si>
    <t>Ringhals 4 (Švedska)</t>
  </si>
  <si>
    <t>** Delitev moči NEK na dva dela</t>
  </si>
  <si>
    <t>221 milijard Švedskih kron (2022)</t>
  </si>
  <si>
    <t>Pretvornik valute v €</t>
  </si>
  <si>
    <t>Nadomestilo za omejeno rabo prostora in vodno povračilo [EUR/leto od začetka gradnje]</t>
  </si>
  <si>
    <t>Verjetnost, da se pojavijo vrednosti desno od povprečja [%]</t>
  </si>
  <si>
    <t>Verjetnost, da se pojavijo vrednosti levo od povprečja [%]</t>
  </si>
  <si>
    <t>Delež fiksnih O&amp;M stroškov v času gradnje glede na povprečne O&amp;M stroške za časa obratovanja [%]</t>
  </si>
  <si>
    <t>Povprečni stroški O&amp;M skozi 80 let [EUR/kW]</t>
  </si>
  <si>
    <t>Strošek nepričakovanega remonta - tehnično popravilo [EUR]</t>
  </si>
  <si>
    <t>Skupen strošek nepričakovanega remonta  [EUR]</t>
  </si>
  <si>
    <t>Strošek nepričakovanega remonta - izgube zaradi potrebe po nakupu EE iz trga in izgube nevariabilne cene stroškovne cene EE [EUR]</t>
  </si>
  <si>
    <t>Fiksna stroškovna cena proizvodnje EE, zmanjšana za variabilne stroške (tj. goriva) [EUR/MWh]</t>
  </si>
  <si>
    <t>Povprečen capacity factor [%]</t>
  </si>
  <si>
    <t>Cost escalation rate [%]</t>
  </si>
  <si>
    <t>Real escalation rate [%]</t>
  </si>
  <si>
    <t>Skupaj nenačrtovanih ustavitev</t>
  </si>
  <si>
    <t>Število nepričakovanih izpadov na leto</t>
  </si>
  <si>
    <t>Kolikšen delež leta v povprečju takšen dogodek traja oz. faktor prisilne ustavitve [delež leta]</t>
  </si>
  <si>
    <t>JEK1 vir</t>
  </si>
  <si>
    <t>JEK2 vir</t>
  </si>
  <si>
    <t>Zgodovinski podatki za vse zahodne JE</t>
  </si>
  <si>
    <t>Depreciacijska doba [let]</t>
  </si>
  <si>
    <t>Hitre samodejne ustavitve v obdobju delovanju 1983-2023</t>
  </si>
  <si>
    <t>Hitre ročne ustavitve v obdobju delovanju 1983-2023</t>
  </si>
  <si>
    <t>Prisilne ustavitve v obdobju delovanju 1983-2023</t>
  </si>
  <si>
    <t>Shin Kori-5/6</t>
  </si>
  <si>
    <t>Shin Kori-3/4</t>
  </si>
  <si>
    <t>Turkey point 7*</t>
  </si>
  <si>
    <t>Patnow 2* (Poljska)</t>
  </si>
  <si>
    <t>Lubiatowa-Kopalina 3*</t>
  </si>
  <si>
    <t>Borssele 3</t>
  </si>
  <si>
    <t>Borssele 3*</t>
  </si>
  <si>
    <t>Borssele 2*</t>
  </si>
  <si>
    <t>Podaljšanje gradnje zaradi priprave dokumentacije [let]</t>
  </si>
  <si>
    <t>Podaljšanje gradnje zaradi prestavitve RTP, 400 kV stikališča, 3 400 kV daljnovodov in 7 100 kV povezav ob predpostavki sklenjenega sporazuma med investitorjem in ELES [let]</t>
  </si>
  <si>
    <t>JEDRSKA ELEKTRARNA</t>
  </si>
  <si>
    <t>OCC initial, povečan za seizmiko [EUR2024/kW]</t>
  </si>
  <si>
    <t>OCC initial [EUR2024/kW]</t>
  </si>
  <si>
    <t>Čas gradnje povečan za planiranje in prestavitev elektroenergetske infrastrukture [let]</t>
  </si>
  <si>
    <t>Čas gradnje [let]</t>
  </si>
  <si>
    <t>Inštalirana kapaciteta [MW]</t>
  </si>
  <si>
    <t>Država</t>
  </si>
  <si>
    <t>FI</t>
  </si>
  <si>
    <t>FR</t>
  </si>
  <si>
    <t>KOR</t>
  </si>
  <si>
    <t>JP</t>
  </si>
  <si>
    <t>CZ</t>
  </si>
  <si>
    <t>PL</t>
  </si>
  <si>
    <t>HU</t>
  </si>
  <si>
    <t>BG</t>
  </si>
  <si>
    <t>SE</t>
  </si>
  <si>
    <t>NL</t>
  </si>
  <si>
    <t>SI</t>
  </si>
  <si>
    <t>Capacity factor - proba, ne uporabljaš</t>
  </si>
  <si>
    <t>Single unit</t>
  </si>
  <si>
    <t>Povprečni podatki ameriških elektrarn [USD2022/MWh]</t>
  </si>
  <si>
    <t>predpostavka, da se podaljša življenska doba JEK1 še za 20 let</t>
  </si>
  <si>
    <t>Podatek za JEK2 [USD2022/MWh]</t>
  </si>
  <si>
    <t>Podatek za JEK2 [EUR2022/MWh]</t>
  </si>
  <si>
    <t>Podatek za JEK2 [EUR2024/MWh]</t>
  </si>
  <si>
    <t>Študija delež fixed vs flexible</t>
  </si>
  <si>
    <t>USD/leto</t>
  </si>
  <si>
    <t>letni fiksni stroški</t>
  </si>
  <si>
    <t>proizvedene EE</t>
  </si>
  <si>
    <t>USD/MWh fiksni</t>
  </si>
  <si>
    <t>USD/MWh variabilni</t>
  </si>
  <si>
    <t>delež fiksnih</t>
  </si>
  <si>
    <t>delež variabilnih</t>
  </si>
  <si>
    <t>Fiskni OM [EUR2024/kW]</t>
  </si>
  <si>
    <t>Variabilni OM [EUR2024/MWh]</t>
  </si>
  <si>
    <t>Fiskni OM [EUR2024/MWh]</t>
  </si>
  <si>
    <t>Obdobje 41-60 let [EUR/kW/leto]</t>
  </si>
  <si>
    <t>Obdobje 41-60 let [EUR/kW/20 let]</t>
  </si>
  <si>
    <t>Vzamemo povprečje iz slik Gen Energije</t>
  </si>
  <si>
    <t>Koliko vrednosti upoštevano v distribucijo</t>
  </si>
  <si>
    <t>Za zdaj ni O&amp;M stroškov tekom gradnje, sam so notri v OCC</t>
  </si>
  <si>
    <t>Minimalna vrednost OCC initial</t>
  </si>
  <si>
    <t>Maksimalna vrednost OCC initial</t>
  </si>
  <si>
    <t xml:space="preserve">Min construction period </t>
  </si>
  <si>
    <t>Max construction period</t>
  </si>
  <si>
    <t>Srednja vrednost</t>
  </si>
  <si>
    <t>Stroški obratovanja in vzdrževanja</t>
  </si>
  <si>
    <t>Fiksni O&amp;M 1-20 let [EUR/kW]</t>
  </si>
  <si>
    <t>Fiksni O&amp;M 21-40 let [EUR/kW]</t>
  </si>
  <si>
    <t>Fiksni O&amp;M 41-60 let [EUR/kW]</t>
  </si>
  <si>
    <t>Fiksni O&amp;M 61-80 let [EUR/kW]</t>
  </si>
  <si>
    <t>Povp. fiksni O&amp;M skozi vseh 80 let[EUR/kW]</t>
  </si>
  <si>
    <t>Variabilni O&amp;M stroški [EUR/MWh]</t>
  </si>
  <si>
    <t>Strošek investicije Švedske</t>
  </si>
  <si>
    <t>Strošek investicije Finske - celoten</t>
  </si>
  <si>
    <t>Koliko prevzamejo mlajše elektrarne (2/5)</t>
  </si>
  <si>
    <t>Strošek investicije Finske - novejše</t>
  </si>
  <si>
    <t>Strošek investicije Švedska - novejše</t>
  </si>
  <si>
    <t>Razgradnja</t>
  </si>
  <si>
    <t>Odpadki</t>
  </si>
  <si>
    <t>Zbrana sredstva</t>
  </si>
  <si>
    <t>Delež odpadki</t>
  </si>
  <si>
    <t>Delež razgradnja</t>
  </si>
  <si>
    <t>Letno vplačilo</t>
  </si>
  <si>
    <t>Letno vplačilo/MW</t>
  </si>
  <si>
    <t>GEN ENERGIJA</t>
  </si>
  <si>
    <t>Povprečje</t>
  </si>
  <si>
    <t>Zavarovalna premija za primer jedrske nesreče [EUR/MWh]</t>
  </si>
  <si>
    <t>EUR/MWh</t>
  </si>
  <si>
    <t>Vrednost, ki odpade na odpadke</t>
  </si>
  <si>
    <t>1 leto</t>
  </si>
  <si>
    <t>Polna vrednost EUR/MW</t>
  </si>
  <si>
    <t>Čehi - odpadki in decom</t>
  </si>
  <si>
    <t>84 člen dopisa med podjetjem in EK</t>
  </si>
  <si>
    <t>oni predpostavljajo 90% CF</t>
  </si>
  <si>
    <t>predpostavljajo 60 let življ dobe</t>
  </si>
  <si>
    <t>90% cene, saj je padec od ene do druge JE</t>
  </si>
  <si>
    <t>Nova češka JE</t>
  </si>
  <si>
    <t>Vrednost čez x let</t>
  </si>
  <si>
    <t>Kak delež stroškov ostane pri švicarjih</t>
  </si>
  <si>
    <t>prilagojena vrednost iz eurostata</t>
  </si>
  <si>
    <t>Verjetnost za zaprtje JE zaradi tehnične napake [%]</t>
  </si>
  <si>
    <t>Verjetnost za politično zaprtje v času obratovanja JE [%]</t>
  </si>
  <si>
    <t>Verjetnost za politično zaprtje v času gradnje JE [%]</t>
  </si>
  <si>
    <t>Skupna cena ravnanja z odpadki v mio. € (2024)</t>
  </si>
  <si>
    <t>Izvozni kredit</t>
  </si>
  <si>
    <t>Povečanje OCC initial za seizmično nadgradnjo lokacije + ostale postavke [EUR2024/kW]</t>
  </si>
  <si>
    <t>OCC initial, povečan za seizmiko, ostale jek2-povezane postavke in delno prilagoje za Južno Korejo [EUR2024/kW]</t>
  </si>
  <si>
    <t>Lastniški kapital - velika vloga države</t>
  </si>
  <si>
    <t>Lastniški kapital - mala vloga države</t>
  </si>
  <si>
    <t>Izvozni kredit -  velika vloga države</t>
  </si>
  <si>
    <t>Krediti pri bankah z in brez državnega poroštva -  velika vloga države</t>
  </si>
  <si>
    <t>Obveznice (dolžniški vrednostni papirji)  -  velika vloga države</t>
  </si>
  <si>
    <t>VELIKA VLOGA DRŽAVE</t>
  </si>
  <si>
    <t>MALA VLOGA DRŽAVE</t>
  </si>
  <si>
    <t>Strošek odobritve kredita, različne provizije pri izdaji</t>
  </si>
  <si>
    <t>Modus</t>
  </si>
  <si>
    <t>Ur v letu dni</t>
  </si>
  <si>
    <t>Strošek (€/MWh)</t>
  </si>
  <si>
    <t>100 LET</t>
  </si>
  <si>
    <t>Cena razgradnje povečana za escalation rate (y + 100)</t>
  </si>
  <si>
    <t>Letno plačilo, da v 100 letih pridemo do končne investicijske vrednosti</t>
  </si>
  <si>
    <t>568 (2024)</t>
  </si>
  <si>
    <t>Napredni stroški v €/kWe leto - 2024</t>
  </si>
  <si>
    <t>Zmerni stroški v €/kWe leto - 2024</t>
  </si>
  <si>
    <t>Konzervativni stroški v €/kWe leto - 2024</t>
  </si>
  <si>
    <t>Multiple_unit</t>
  </si>
  <si>
    <t>Capacity factor (za zdaj dokler ni končne vrednosti)</t>
  </si>
  <si>
    <t>povprečna moč JE</t>
  </si>
  <si>
    <r>
      <t xml:space="preserve">Razmerje 75 % in 50 %  </t>
    </r>
    <r>
      <rPr>
        <i/>
        <sz val="9"/>
        <color theme="1"/>
        <rFont val="Calibri"/>
        <family val="2"/>
        <scheme val="minor"/>
      </rPr>
      <t>(Table 38 - https://inldigitallibrary.inl.gov/sites/sti/sti/Sort_107010.pdf)</t>
    </r>
  </si>
  <si>
    <r>
      <t xml:space="preserve">Razmerje 25% in 50% </t>
    </r>
    <r>
      <rPr>
        <i/>
        <sz val="9"/>
        <color theme="1"/>
        <rFont val="Calibri"/>
        <family val="2"/>
        <scheme val="minor"/>
      </rPr>
      <t xml:space="preserve">(Table 38 - https://inldigitallibrary.inl.gov/sites/sti/sti/Sort_107010.pdf) </t>
    </r>
  </si>
  <si>
    <t>Escalation rate - MZPP</t>
  </si>
  <si>
    <r>
      <t xml:space="preserve">JEK2 </t>
    </r>
    <r>
      <rPr>
        <sz val="11"/>
        <color theme="1"/>
        <rFont val="Calibri"/>
        <family val="2"/>
        <charset val="238"/>
        <scheme val="minor"/>
      </rPr>
      <t>- Capacity factor - GEN-E</t>
    </r>
  </si>
  <si>
    <r>
      <rPr>
        <b/>
        <sz val="11"/>
        <color theme="1"/>
        <rFont val="Calibri"/>
        <family val="2"/>
        <scheme val="minor"/>
      </rPr>
      <t xml:space="preserve">NEK </t>
    </r>
    <r>
      <rPr>
        <sz val="11"/>
        <color theme="1"/>
        <rFont val="Calibri"/>
        <family val="2"/>
        <charset val="238"/>
        <scheme val="minor"/>
      </rPr>
      <t>- Capacity factor - GEN-E</t>
    </r>
  </si>
  <si>
    <r>
      <t xml:space="preserve">Capacity faktor - </t>
    </r>
    <r>
      <rPr>
        <b/>
        <sz val="11"/>
        <color theme="1"/>
        <rFont val="Calibri"/>
        <family val="2"/>
        <scheme val="minor"/>
      </rPr>
      <t>MZPP</t>
    </r>
  </si>
  <si>
    <t>Interest rate - MZPP</t>
  </si>
  <si>
    <t>Escalation rate - GEN</t>
  </si>
  <si>
    <t>Interest rate - GEN</t>
  </si>
  <si>
    <t>3227 (2024)</t>
  </si>
  <si>
    <t>4751 (2020)</t>
  </si>
  <si>
    <t>GEN-E (delež za odpadke) - Strošek (€/MWh)</t>
  </si>
  <si>
    <t>1845 (2024)</t>
  </si>
  <si>
    <t>Čehi</t>
  </si>
  <si>
    <t>Trikotna distribucija</t>
  </si>
  <si>
    <t xml:space="preserve">Min </t>
  </si>
  <si>
    <t>Povperčen CF</t>
  </si>
  <si>
    <t>Vrednost, ki odpade na razgradnjo</t>
  </si>
  <si>
    <t>razmerja iz gen energija študije</t>
  </si>
  <si>
    <t>! VKLJUČEN V DRUGIH STROŠKIH, ZATO TRENUTNO 0</t>
  </si>
  <si>
    <t>VKLJUČEVA V OPEX-U, ZATO TUKAJ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</si>
</sst>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#,##0.00\ &quot;€&quot;;[Red]\-#,##0.00\ &quot;€&quot;"/>
    <numFmt numFmtId="43" formatCode="_-* #,##0.00_-;\-* #,##0.00_-;_-* &quot;-&quot;??_-;_-@_-"/>
    <numFmt numFmtId="164" formatCode="_-* #,##0_-;\-* #,##0_-;_-* &quot;-&quot;??_-;_-@_-"/>
    <numFmt numFmtId="165" formatCode="0.0000"/>
    <numFmt numFmtId="166" formatCode="0.0%"/>
    <numFmt numFmtId="167" formatCode="0.0"/>
    <numFmt numFmtId="168" formatCode="#,##0.0"/>
    <numFmt numFmtId="169" formatCode="0.000"/>
    <numFmt numFmtId="170" formatCode="0.000%"/>
    <numFmt numFmtId="171" formatCode="_ * #,##0.00_)\ &quot;€&quot;_ ;_ * \(#,##0.00\)\ &quot;€&quot;_ ;_ * &quot;-&quot;??_)\ &quot;€&quot;_ ;_ @_ "/>
    <numFmt numFmtId="172" formatCode="#,##0.00000"/>
    <numFmt numFmtId="173" formatCode="_ * #,##0.00_)_ ;_ * \(#,##0.00\)_ ;_ * &quot;-&quot;??_)_ ;_ @_ "/>
  </numFmts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sz val="10"/>
      <color rgb="FF000000"/>
      <name val="Calibri"/>
      <family val="2"/>
      <charset val="238"/>
      <scheme val="minor"/>
    </font>
    <font>
      <u/>
      <sz val="10"/>
      <color theme="10"/>
      <name val="Calibri"/>
      <family val="2"/>
      <charset val="238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4" fillId="0" borderId="0"/>
    <xf numFmtId="9" fontId="1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171" fontId="5" fillId="0" borderId="0" applyFont="0" applyFill="0" applyBorder="0" applyAlignment="0" applyProtection="0"/>
    <xf numFmtId="0" fontId="1" fillId="0" borderId="0"/>
  </cellStyleXfs>
  <cellXfs count="233">
    <xf numFmtId="0" fontId="0" fillId="0" borderId="0" xfId="0"/>
    <xf numFmtId="9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1" applyNumberFormat="1" applyFont="1"/>
    <xf numFmtId="0" fontId="0" fillId="2" borderId="1" xfId="0" applyFill="1" applyBorder="1"/>
    <xf numFmtId="167" fontId="0" fillId="2" borderId="1" xfId="0" applyNumberFormat="1" applyFill="1" applyBorder="1"/>
    <xf numFmtId="10" fontId="0" fillId="2" borderId="1" xfId="0" applyNumberFormat="1" applyFill="1" applyBorder="1"/>
    <xf numFmtId="9" fontId="0" fillId="2" borderId="1" xfId="0" applyNumberFormat="1" applyFill="1" applyBorder="1"/>
    <xf numFmtId="1" fontId="0" fillId="2" borderId="1" xfId="0" applyNumberFormat="1" applyFill="1" applyBorder="1"/>
    <xf numFmtId="2" fontId="0" fillId="2" borderId="1" xfId="0" applyNumberFormat="1" applyFill="1" applyBorder="1"/>
    <xf numFmtId="0" fontId="0" fillId="3" borderId="1" xfId="0" applyFill="1" applyBorder="1"/>
    <xf numFmtId="10" fontId="0" fillId="2" borderId="1" xfId="2" applyNumberFormat="1" applyFont="1" applyFill="1" applyBorder="1"/>
    <xf numFmtId="3" fontId="0" fillId="2" borderId="1" xfId="0" applyNumberFormat="1" applyFill="1" applyBorder="1"/>
    <xf numFmtId="166" fontId="0" fillId="2" borderId="1" xfId="0" applyNumberFormat="1" applyFill="1" applyBorder="1"/>
    <xf numFmtId="0" fontId="0" fillId="2" borderId="1" xfId="0" applyFont="1" applyFill="1" applyBorder="1"/>
    <xf numFmtId="0" fontId="0" fillId="2" borderId="1" xfId="0" applyFont="1" applyFill="1" applyBorder="1" applyAlignment="1">
      <alignment horizontal="left" indent="1"/>
    </xf>
    <xf numFmtId="166" fontId="0" fillId="0" borderId="0" xfId="2" applyNumberFormat="1" applyFont="1"/>
    <xf numFmtId="0" fontId="0" fillId="2" borderId="3" xfId="0" applyFill="1" applyBorder="1"/>
    <xf numFmtId="2" fontId="0" fillId="0" borderId="0" xfId="0" applyNumberFormat="1"/>
    <xf numFmtId="0" fontId="0" fillId="4" borderId="1" xfId="0" applyFill="1" applyBorder="1"/>
    <xf numFmtId="0" fontId="0" fillId="4" borderId="0" xfId="0" applyFill="1"/>
    <xf numFmtId="0" fontId="4" fillId="4" borderId="2" xfId="0" applyFont="1" applyFill="1" applyBorder="1" applyAlignment="1">
      <alignment vertical="center" wrapText="1"/>
    </xf>
    <xf numFmtId="2" fontId="4" fillId="4" borderId="2" xfId="0" applyNumberFormat="1" applyFont="1" applyFill="1" applyBorder="1" applyAlignment="1">
      <alignment vertical="center" wrapText="1"/>
    </xf>
    <xf numFmtId="2" fontId="0" fillId="4" borderId="0" xfId="0" applyNumberFormat="1" applyFill="1"/>
    <xf numFmtId="0" fontId="0" fillId="2" borderId="7" xfId="0" applyFill="1" applyBorder="1"/>
    <xf numFmtId="167" fontId="0" fillId="0" borderId="0" xfId="0" applyNumberFormat="1"/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170" fontId="0" fillId="2" borderId="1" xfId="4" applyNumberFormat="1" applyFont="1" applyFill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2" fillId="3" borderId="1" xfId="3" applyFont="1" applyFill="1" applyBorder="1" applyAlignment="1">
      <alignment horizontal="center" vertical="center" wrapText="1"/>
    </xf>
    <xf numFmtId="0" fontId="6" fillId="0" borderId="0" xfId="3" applyFont="1" applyAlignment="1">
      <alignment horizontal="center" vertical="center" wrapText="1"/>
    </xf>
    <xf numFmtId="0" fontId="1" fillId="4" borderId="1" xfId="3" applyFont="1" applyFill="1" applyBorder="1" applyAlignment="1">
      <alignment horizontal="center" vertical="center" wrapText="1"/>
    </xf>
    <xf numFmtId="2" fontId="0" fillId="0" borderId="1" xfId="5" applyNumberFormat="1" applyFont="1" applyBorder="1" applyAlignment="1">
      <alignment horizontal="center" vertical="center" wrapText="1"/>
    </xf>
    <xf numFmtId="3" fontId="0" fillId="0" borderId="1" xfId="5" applyNumberFormat="1" applyFont="1" applyBorder="1" applyAlignment="1">
      <alignment horizontal="center" vertical="center" wrapText="1"/>
    </xf>
    <xf numFmtId="3" fontId="2" fillId="3" borderId="1" xfId="3" applyNumberFormat="1" applyFont="1" applyFill="1" applyBorder="1" applyAlignment="1">
      <alignment horizontal="center" vertical="center" wrapText="1"/>
    </xf>
    <xf numFmtId="167" fontId="5" fillId="0" borderId="1" xfId="3" applyNumberFormat="1" applyBorder="1" applyAlignment="1">
      <alignment horizontal="center" vertical="center" wrapText="1"/>
    </xf>
    <xf numFmtId="3" fontId="5" fillId="0" borderId="0" xfId="3" applyNumberFormat="1" applyAlignment="1">
      <alignment horizontal="center" vertical="center" wrapText="1"/>
    </xf>
    <xf numFmtId="3" fontId="5" fillId="2" borderId="1" xfId="3" applyNumberFormat="1" applyFill="1" applyBorder="1" applyAlignment="1">
      <alignment horizontal="center" vertical="center" wrapText="1"/>
    </xf>
    <xf numFmtId="169" fontId="5" fillId="0" borderId="0" xfId="3" applyNumberFormat="1" applyAlignment="1">
      <alignment horizontal="center" vertical="center" wrapText="1"/>
    </xf>
    <xf numFmtId="167" fontId="7" fillId="0" borderId="1" xfId="3" applyNumberFormat="1" applyFont="1" applyBorder="1" applyAlignment="1">
      <alignment horizontal="center" vertical="center" wrapText="1"/>
    </xf>
    <xf numFmtId="0" fontId="5" fillId="0" borderId="0" xfId="3"/>
    <xf numFmtId="3" fontId="5" fillId="4" borderId="1" xfId="3" applyNumberFormat="1" applyFill="1" applyBorder="1" applyAlignment="1">
      <alignment horizontal="center" vertical="center" wrapText="1"/>
    </xf>
    <xf numFmtId="2" fontId="5" fillId="0" borderId="1" xfId="3" applyNumberFormat="1" applyBorder="1" applyAlignment="1">
      <alignment horizontal="center" vertical="center" wrapText="1"/>
    </xf>
    <xf numFmtId="0" fontId="8" fillId="0" borderId="0" xfId="7"/>
    <xf numFmtId="4" fontId="5" fillId="0" borderId="0" xfId="3" applyNumberFormat="1" applyAlignment="1">
      <alignment horizontal="center" vertical="center" wrapText="1"/>
    </xf>
    <xf numFmtId="0" fontId="5" fillId="0" borderId="0" xfId="3" applyAlignment="1">
      <alignment horizontal="center" vertical="center"/>
    </xf>
    <xf numFmtId="3" fontId="0" fillId="4" borderId="1" xfId="0" applyNumberFormat="1" applyFill="1" applyBorder="1"/>
    <xf numFmtId="166" fontId="0" fillId="2" borderId="1" xfId="2" applyNumberFormat="1" applyFont="1" applyFill="1" applyBorder="1"/>
    <xf numFmtId="0" fontId="0" fillId="2" borderId="1" xfId="0" applyFill="1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4" xfId="0" applyBorder="1"/>
    <xf numFmtId="0" fontId="2" fillId="0" borderId="14" xfId="0" applyFont="1" applyBorder="1"/>
    <xf numFmtId="0" fontId="2" fillId="0" borderId="0" xfId="0" applyFont="1" applyBorder="1"/>
    <xf numFmtId="0" fontId="0" fillId="0" borderId="8" xfId="0" applyBorder="1"/>
    <xf numFmtId="0" fontId="0" fillId="0" borderId="13" xfId="0" applyBorder="1"/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 wrapText="1"/>
    </xf>
    <xf numFmtId="10" fontId="0" fillId="0" borderId="0" xfId="0" applyNumberFormat="1"/>
    <xf numFmtId="0" fontId="0" fillId="4" borderId="1" xfId="0" applyFill="1" applyBorder="1" applyAlignment="1">
      <alignment wrapText="1"/>
    </xf>
    <xf numFmtId="0" fontId="0" fillId="4" borderId="7" xfId="0" applyFill="1" applyBorder="1" applyAlignment="1">
      <alignment wrapText="1"/>
    </xf>
    <xf numFmtId="168" fontId="0" fillId="4" borderId="7" xfId="0" applyNumberFormat="1" applyFill="1" applyBorder="1"/>
    <xf numFmtId="168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4" fontId="0" fillId="2" borderId="1" xfId="0" applyNumberFormat="1" applyFill="1" applyBorder="1" applyAlignment="1">
      <alignment horizontal="center"/>
    </xf>
    <xf numFmtId="168" fontId="13" fillId="2" borderId="1" xfId="0" applyNumberFormat="1" applyFont="1" applyFill="1" applyBorder="1"/>
    <xf numFmtId="0" fontId="0" fillId="2" borderId="1" xfId="0" applyFill="1" applyBorder="1" applyAlignment="1">
      <alignment horizontal="center" wrapText="1"/>
    </xf>
    <xf numFmtId="0" fontId="0" fillId="4" borderId="0" xfId="0" applyFill="1" applyBorder="1"/>
    <xf numFmtId="0" fontId="0" fillId="0" borderId="1" xfId="0" applyFill="1" applyBorder="1"/>
    <xf numFmtId="10" fontId="0" fillId="0" borderId="0" xfId="2" applyNumberFormat="1" applyFont="1"/>
    <xf numFmtId="3" fontId="0" fillId="0" borderId="1" xfId="0" applyNumberFormat="1" applyFill="1" applyBorder="1"/>
    <xf numFmtId="4" fontId="5" fillId="0" borderId="1" xfId="3" applyNumberFormat="1" applyBorder="1" applyAlignment="1">
      <alignment horizontal="center" vertical="center" wrapText="1"/>
    </xf>
    <xf numFmtId="9" fontId="5" fillId="0" borderId="1" xfId="3" applyNumberFormat="1" applyBorder="1" applyAlignment="1">
      <alignment horizontal="center" vertical="center" wrapText="1"/>
    </xf>
    <xf numFmtId="0" fontId="5" fillId="0" borderId="1" xfId="3" applyBorder="1" applyAlignment="1">
      <alignment horizontal="center" vertical="center"/>
    </xf>
    <xf numFmtId="0" fontId="5" fillId="4" borderId="1" xfId="3" applyFill="1" applyBorder="1" applyAlignment="1">
      <alignment horizontal="center" vertical="center" wrapText="1"/>
    </xf>
    <xf numFmtId="1" fontId="5" fillId="4" borderId="1" xfId="3" applyNumberFormat="1" applyFill="1" applyBorder="1" applyAlignment="1">
      <alignment horizontal="center" vertical="center" wrapText="1"/>
    </xf>
    <xf numFmtId="4" fontId="5" fillId="4" borderId="1" xfId="3" applyNumberFormat="1" applyFill="1" applyBorder="1" applyAlignment="1">
      <alignment horizontal="center" vertical="center" wrapText="1"/>
    </xf>
    <xf numFmtId="8" fontId="5" fillId="4" borderId="1" xfId="3" applyNumberFormat="1" applyFill="1" applyBorder="1" applyAlignment="1">
      <alignment horizontal="center" vertical="center" wrapText="1"/>
    </xf>
    <xf numFmtId="0" fontId="2" fillId="4" borderId="1" xfId="3" applyFont="1" applyFill="1" applyBorder="1" applyAlignment="1">
      <alignment horizontal="center" vertical="center" wrapText="1"/>
    </xf>
    <xf numFmtId="8" fontId="2" fillId="2" borderId="1" xfId="3" applyNumberFormat="1" applyFont="1" applyFill="1" applyBorder="1" applyAlignment="1">
      <alignment horizontal="center" vertical="center" wrapText="1"/>
    </xf>
    <xf numFmtId="8" fontId="5" fillId="2" borderId="1" xfId="3" applyNumberFormat="1" applyFill="1" applyBorder="1" applyAlignment="1">
      <alignment horizontal="center" vertical="center" wrapText="1"/>
    </xf>
    <xf numFmtId="0" fontId="2" fillId="8" borderId="1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8" fontId="5" fillId="0" borderId="0" xfId="3" applyNumberFormat="1" applyAlignment="1">
      <alignment horizontal="center" vertical="center" wrapText="1"/>
    </xf>
    <xf numFmtId="0" fontId="13" fillId="0" borderId="0" xfId="0" applyFont="1"/>
    <xf numFmtId="168" fontId="0" fillId="4" borderId="1" xfId="0" applyNumberFormat="1" applyFill="1" applyBorder="1"/>
    <xf numFmtId="3" fontId="0" fillId="0" borderId="0" xfId="0" applyNumberFormat="1" applyFill="1"/>
    <xf numFmtId="0" fontId="0" fillId="6" borderId="1" xfId="0" applyFont="1" applyFill="1" applyBorder="1"/>
    <xf numFmtId="0" fontId="0" fillId="6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left" indent="1"/>
    </xf>
    <xf numFmtId="166" fontId="0" fillId="4" borderId="1" xfId="0" applyNumberFormat="1" applyFill="1" applyBorder="1"/>
    <xf numFmtId="0" fontId="5" fillId="0" borderId="0" xfId="3" applyAlignment="1">
      <alignment wrapText="1"/>
    </xf>
    <xf numFmtId="4" fontId="2" fillId="3" borderId="1" xfId="3" applyNumberFormat="1" applyFont="1" applyFill="1" applyBorder="1" applyAlignment="1">
      <alignment horizontal="center" vertical="center" wrapText="1"/>
    </xf>
    <xf numFmtId="0" fontId="5" fillId="2" borderId="5" xfId="3" applyFill="1" applyBorder="1" applyAlignment="1">
      <alignment horizontal="center" vertical="center" wrapText="1"/>
    </xf>
    <xf numFmtId="3" fontId="5" fillId="4" borderId="5" xfId="3" applyNumberFormat="1" applyFill="1" applyBorder="1" applyAlignment="1">
      <alignment horizontal="center" vertical="center" wrapText="1"/>
    </xf>
    <xf numFmtId="3" fontId="5" fillId="2" borderId="5" xfId="3" applyNumberFormat="1" applyFill="1" applyBorder="1" applyAlignment="1">
      <alignment horizontal="center" vertical="center" wrapText="1"/>
    </xf>
    <xf numFmtId="4" fontId="5" fillId="2" borderId="1" xfId="3" applyNumberFormat="1" applyFill="1" applyBorder="1" applyAlignment="1">
      <alignment horizontal="center" vertical="center" wrapText="1"/>
    </xf>
    <xf numFmtId="164" fontId="0" fillId="0" borderId="0" xfId="11" applyNumberFormat="1" applyFont="1" applyAlignment="1">
      <alignment horizontal="center" vertical="center" wrapText="1"/>
    </xf>
    <xf numFmtId="10" fontId="0" fillId="2" borderId="1" xfId="4" applyNumberFormat="1" applyFont="1" applyFill="1" applyBorder="1" applyAlignment="1">
      <alignment horizontal="center" vertical="center" wrapText="1"/>
    </xf>
    <xf numFmtId="0" fontId="5" fillId="0" borderId="0" xfId="3" applyAlignment="1">
      <alignment horizontal="center"/>
    </xf>
    <xf numFmtId="0" fontId="0" fillId="0" borderId="1" xfId="0" applyFont="1" applyFill="1" applyBorder="1"/>
    <xf numFmtId="166" fontId="0" fillId="0" borderId="1" xfId="0" applyNumberFormat="1" applyFill="1" applyBorder="1"/>
    <xf numFmtId="10" fontId="0" fillId="0" borderId="1" xfId="0" applyNumberFormat="1" applyFill="1" applyBorder="1"/>
    <xf numFmtId="0" fontId="0" fillId="0" borderId="1" xfId="0" applyFont="1" applyFill="1" applyBorder="1" applyAlignment="1">
      <alignment horizontal="left" indent="1"/>
    </xf>
    <xf numFmtId="1" fontId="0" fillId="0" borderId="1" xfId="0" applyNumberFormat="1" applyFill="1" applyBorder="1"/>
    <xf numFmtId="0" fontId="5" fillId="2" borderId="1" xfId="3" applyFill="1" applyBorder="1" applyAlignment="1">
      <alignment horizontal="center" vertical="center" wrapText="1"/>
    </xf>
    <xf numFmtId="0" fontId="5" fillId="0" borderId="0" xfId="3" applyAlignment="1">
      <alignment horizontal="center" vertical="center" wrapText="1"/>
    </xf>
    <xf numFmtId="3" fontId="5" fillId="0" borderId="1" xfId="3" applyNumberFormat="1" applyBorder="1" applyAlignment="1">
      <alignment horizontal="center" vertical="center" wrapText="1"/>
    </xf>
    <xf numFmtId="0" fontId="5" fillId="0" borderId="1" xfId="3" applyBorder="1" applyAlignment="1">
      <alignment horizontal="center" vertical="center" wrapText="1"/>
    </xf>
    <xf numFmtId="0" fontId="5" fillId="0" borderId="1" xfId="3" applyBorder="1" applyAlignment="1">
      <alignment vertical="center"/>
    </xf>
    <xf numFmtId="0" fontId="5" fillId="0" borderId="1" xfId="3" applyBorder="1" applyAlignment="1">
      <alignment wrapText="1"/>
    </xf>
    <xf numFmtId="167" fontId="5" fillId="0" borderId="1" xfId="3" applyNumberFormat="1" applyBorder="1" applyAlignment="1">
      <alignment horizontal="center" vertical="center"/>
    </xf>
    <xf numFmtId="2" fontId="5" fillId="0" borderId="0" xfId="3" applyNumberFormat="1"/>
    <xf numFmtId="4" fontId="5" fillId="0" borderId="0" xfId="3" applyNumberFormat="1"/>
    <xf numFmtId="0" fontId="5" fillId="0" borderId="3" xfId="3" applyBorder="1"/>
    <xf numFmtId="168" fontId="5" fillId="0" borderId="1" xfId="3" applyNumberFormat="1" applyBorder="1" applyAlignment="1">
      <alignment horizontal="center" vertical="center"/>
    </xf>
    <xf numFmtId="9" fontId="5" fillId="0" borderId="1" xfId="3" applyNumberFormat="1" applyBorder="1" applyAlignment="1">
      <alignment horizontal="center" vertical="center"/>
    </xf>
    <xf numFmtId="166" fontId="0" fillId="0" borderId="0" xfId="13" applyNumberFormat="1" applyFont="1"/>
    <xf numFmtId="0" fontId="5" fillId="9" borderId="1" xfId="3" applyFill="1" applyBorder="1" applyAlignment="1">
      <alignment vertical="center"/>
    </xf>
    <xf numFmtId="169" fontId="5" fillId="9" borderId="1" xfId="3" applyNumberFormat="1" applyFill="1" applyBorder="1" applyAlignment="1">
      <alignment horizontal="center" vertical="center"/>
    </xf>
    <xf numFmtId="166" fontId="0" fillId="9" borderId="1" xfId="13" applyNumberFormat="1" applyFont="1" applyFill="1" applyBorder="1" applyAlignment="1">
      <alignment horizontal="center" vertical="center"/>
    </xf>
    <xf numFmtId="0" fontId="5" fillId="9" borderId="1" xfId="3" applyFill="1" applyBorder="1" applyAlignment="1">
      <alignment horizontal="center" vertical="center"/>
    </xf>
    <xf numFmtId="1" fontId="5" fillId="0" borderId="1" xfId="3" applyNumberFormat="1" applyBorder="1" applyAlignment="1">
      <alignment horizontal="center" vertical="center"/>
    </xf>
    <xf numFmtId="10" fontId="0" fillId="0" borderId="1" xfId="13" applyNumberFormat="1" applyFont="1" applyBorder="1" applyAlignment="1">
      <alignment horizontal="center" vertical="center"/>
    </xf>
    <xf numFmtId="0" fontId="5" fillId="3" borderId="1" xfId="3" applyFill="1" applyBorder="1" applyAlignment="1">
      <alignment vertical="center"/>
    </xf>
    <xf numFmtId="2" fontId="5" fillId="3" borderId="1" xfId="3" applyNumberFormat="1" applyFill="1" applyBorder="1" applyAlignment="1">
      <alignment horizontal="center" vertical="center"/>
    </xf>
    <xf numFmtId="4" fontId="5" fillId="0" borderId="1" xfId="3" applyNumberFormat="1" applyBorder="1" applyAlignment="1">
      <alignment horizontal="center" vertical="center"/>
    </xf>
    <xf numFmtId="0" fontId="2" fillId="5" borderId="1" xfId="3" applyFont="1" applyFill="1" applyBorder="1" applyAlignment="1">
      <alignment vertical="center"/>
    </xf>
    <xf numFmtId="0" fontId="2" fillId="5" borderId="1" xfId="3" applyFont="1" applyFill="1" applyBorder="1" applyAlignment="1">
      <alignment horizontal="center" vertical="center"/>
    </xf>
    <xf numFmtId="9" fontId="2" fillId="5" borderId="1" xfId="3" applyNumberFormat="1" applyFont="1" applyFill="1" applyBorder="1" applyAlignment="1">
      <alignment horizontal="center" vertical="center"/>
    </xf>
    <xf numFmtId="167" fontId="2" fillId="5" borderId="1" xfId="3" applyNumberFormat="1" applyFont="1" applyFill="1" applyBorder="1" applyAlignment="1">
      <alignment horizontal="center" vertical="center"/>
    </xf>
    <xf numFmtId="0" fontId="5" fillId="5" borderId="1" xfId="3" applyFill="1" applyBorder="1" applyAlignment="1">
      <alignment vertical="center"/>
    </xf>
    <xf numFmtId="167" fontId="5" fillId="5" borderId="1" xfId="3" applyNumberFormat="1" applyFill="1" applyBorder="1" applyAlignment="1">
      <alignment horizontal="center" vertical="center"/>
    </xf>
    <xf numFmtId="166" fontId="0" fillId="0" borderId="1" xfId="13" applyNumberFormat="1" applyFont="1" applyBorder="1" applyAlignment="1">
      <alignment horizontal="center" vertical="center"/>
    </xf>
    <xf numFmtId="0" fontId="5" fillId="2" borderId="1" xfId="3" applyFill="1" applyBorder="1" applyAlignment="1">
      <alignment vertical="center"/>
    </xf>
    <xf numFmtId="10" fontId="5" fillId="2" borderId="1" xfId="3" applyNumberFormat="1" applyFill="1" applyBorder="1" applyAlignment="1">
      <alignment horizontal="center" vertical="center"/>
    </xf>
    <xf numFmtId="0" fontId="5" fillId="2" borderId="1" xfId="3" applyFill="1" applyBorder="1" applyAlignment="1">
      <alignment horizontal="center" vertical="center"/>
    </xf>
    <xf numFmtId="2" fontId="5" fillId="2" borderId="1" xfId="3" applyNumberFormat="1" applyFill="1" applyBorder="1" applyAlignment="1">
      <alignment horizontal="center" vertical="center"/>
    </xf>
    <xf numFmtId="10" fontId="5" fillId="2" borderId="1" xfId="3" applyNumberFormat="1" applyFill="1" applyBorder="1" applyAlignment="1">
      <alignment vertical="center"/>
    </xf>
    <xf numFmtId="0" fontId="5" fillId="0" borderId="0" xfId="3" applyAlignment="1">
      <alignment vertical="center"/>
    </xf>
    <xf numFmtId="2" fontId="5" fillId="0" borderId="0" xfId="3" applyNumberFormat="1" applyFill="1"/>
    <xf numFmtId="0" fontId="5" fillId="0" borderId="0" xfId="14" applyAlignment="1">
      <alignment horizontal="center" vertical="center" wrapText="1"/>
    </xf>
    <xf numFmtId="0" fontId="5" fillId="0" borderId="0" xfId="14"/>
    <xf numFmtId="0" fontId="6" fillId="0" borderId="1" xfId="14" applyFont="1" applyBorder="1" applyAlignment="1">
      <alignment horizontal="center" vertical="center" wrapText="1"/>
    </xf>
    <xf numFmtId="0" fontId="2" fillId="3" borderId="1" xfId="14" applyFont="1" applyFill="1" applyBorder="1" applyAlignment="1">
      <alignment horizontal="center" vertical="center" wrapText="1"/>
    </xf>
    <xf numFmtId="0" fontId="6" fillId="0" borderId="0" xfId="14" applyFont="1" applyAlignment="1">
      <alignment horizontal="center" vertical="center" wrapText="1"/>
    </xf>
    <xf numFmtId="0" fontId="1" fillId="4" borderId="17" xfId="3" applyFont="1" applyFill="1" applyBorder="1" applyAlignment="1">
      <alignment horizontal="center" vertical="center" wrapText="1"/>
    </xf>
    <xf numFmtId="0" fontId="1" fillId="4" borderId="18" xfId="3" applyFont="1" applyFill="1" applyBorder="1" applyAlignment="1">
      <alignment horizontal="center" vertical="center" wrapText="1"/>
    </xf>
    <xf numFmtId="0" fontId="5" fillId="0" borderId="1" xfId="14" applyBorder="1" applyAlignment="1">
      <alignment horizontal="center" vertical="center" wrapText="1"/>
    </xf>
    <xf numFmtId="2" fontId="5" fillId="0" borderId="1" xfId="14" applyNumberFormat="1" applyBorder="1" applyAlignment="1">
      <alignment horizontal="center" vertical="center" wrapText="1"/>
    </xf>
    <xf numFmtId="2" fontId="0" fillId="0" borderId="1" xfId="15" applyNumberFormat="1" applyFont="1" applyBorder="1" applyAlignment="1">
      <alignment horizontal="center" vertical="center" wrapText="1"/>
    </xf>
    <xf numFmtId="3" fontId="0" fillId="0" borderId="1" xfId="15" applyNumberFormat="1" applyFont="1" applyBorder="1" applyAlignment="1">
      <alignment horizontal="center" vertical="center" wrapText="1"/>
    </xf>
    <xf numFmtId="3" fontId="2" fillId="3" borderId="1" xfId="14" applyNumberFormat="1" applyFont="1" applyFill="1" applyBorder="1" applyAlignment="1">
      <alignment horizontal="center" vertical="center" wrapText="1"/>
    </xf>
    <xf numFmtId="168" fontId="2" fillId="3" borderId="1" xfId="14" applyNumberFormat="1" applyFont="1" applyFill="1" applyBorder="1" applyAlignment="1">
      <alignment horizontal="center" vertical="center" wrapText="1"/>
    </xf>
    <xf numFmtId="172" fontId="5" fillId="0" borderId="0" xfId="14" applyNumberFormat="1" applyAlignment="1">
      <alignment horizontal="center" vertical="center" wrapText="1"/>
    </xf>
    <xf numFmtId="165" fontId="1" fillId="4" borderId="19" xfId="3" applyNumberFormat="1" applyFont="1" applyFill="1" applyBorder="1" applyAlignment="1">
      <alignment horizontal="center" vertical="center" wrapText="1"/>
    </xf>
    <xf numFmtId="165" fontId="1" fillId="4" borderId="26" xfId="3" applyNumberFormat="1" applyFont="1" applyFill="1" applyBorder="1" applyAlignment="1">
      <alignment horizontal="center" vertical="center" wrapText="1"/>
    </xf>
    <xf numFmtId="165" fontId="1" fillId="4" borderId="20" xfId="3" applyNumberFormat="1" applyFont="1" applyFill="1" applyBorder="1" applyAlignment="1">
      <alignment horizontal="center" vertical="center" wrapText="1"/>
    </xf>
    <xf numFmtId="3" fontId="5" fillId="0" borderId="0" xfId="14" applyNumberFormat="1" applyAlignment="1">
      <alignment horizontal="center" vertical="center" wrapText="1"/>
    </xf>
    <xf numFmtId="169" fontId="5" fillId="0" borderId="0" xfId="14" applyNumberFormat="1" applyAlignment="1">
      <alignment horizontal="center" vertical="center" wrapText="1"/>
    </xf>
    <xf numFmtId="167" fontId="5" fillId="0" borderId="1" xfId="14" applyNumberFormat="1" applyBorder="1" applyAlignment="1">
      <alignment horizontal="center" vertical="center" wrapText="1"/>
    </xf>
    <xf numFmtId="0" fontId="5" fillId="0" borderId="4" xfId="14" applyBorder="1" applyAlignment="1">
      <alignment horizontal="center" vertical="center" wrapText="1"/>
    </xf>
    <xf numFmtId="167" fontId="5" fillId="0" borderId="5" xfId="14" applyNumberFormat="1" applyBorder="1" applyAlignment="1">
      <alignment horizontal="center" vertical="center" wrapText="1"/>
    </xf>
    <xf numFmtId="0" fontId="5" fillId="0" borderId="5" xfId="14" applyBorder="1" applyAlignment="1">
      <alignment horizontal="center" vertical="center" wrapText="1"/>
    </xf>
    <xf numFmtId="9" fontId="5" fillId="0" borderId="0" xfId="14" applyNumberFormat="1" applyAlignment="1">
      <alignment horizontal="center" vertical="center" wrapText="1"/>
    </xf>
    <xf numFmtId="0" fontId="5" fillId="3" borderId="1" xfId="3" applyFill="1" applyBorder="1" applyAlignment="1">
      <alignment horizontal="center" vertical="center" wrapText="1"/>
    </xf>
    <xf numFmtId="0" fontId="0" fillId="0" borderId="1" xfId="3" applyFont="1" applyBorder="1" applyAlignment="1">
      <alignment horizontal="center" vertical="center" wrapText="1"/>
    </xf>
    <xf numFmtId="167" fontId="7" fillId="0" borderId="1" xfId="14" applyNumberFormat="1" applyFont="1" applyBorder="1" applyAlignment="1">
      <alignment horizontal="center" vertical="center" wrapText="1"/>
    </xf>
    <xf numFmtId="0" fontId="5" fillId="3" borderId="1" xfId="14" applyFill="1" applyBorder="1" applyAlignment="1">
      <alignment horizontal="center" vertical="center" wrapText="1"/>
    </xf>
    <xf numFmtId="0" fontId="5" fillId="0" borderId="0" xfId="14" applyAlignment="1">
      <alignment horizontal="center" vertical="center"/>
    </xf>
    <xf numFmtId="0" fontId="5" fillId="2" borderId="9" xfId="14" applyFill="1" applyBorder="1" applyAlignment="1">
      <alignment horizontal="center" vertical="center" wrapText="1"/>
    </xf>
    <xf numFmtId="0" fontId="5" fillId="2" borderId="1" xfId="14" applyFill="1" applyBorder="1" applyAlignment="1">
      <alignment horizontal="center" vertical="center" wrapText="1"/>
    </xf>
    <xf numFmtId="9" fontId="5" fillId="0" borderId="1" xfId="13" applyFont="1" applyBorder="1" applyAlignment="1">
      <alignment horizontal="center" vertical="center" wrapText="1"/>
    </xf>
    <xf numFmtId="4" fontId="5" fillId="0" borderId="0" xfId="14" applyNumberFormat="1" applyAlignment="1">
      <alignment horizontal="center" vertical="center" wrapText="1"/>
    </xf>
    <xf numFmtId="4" fontId="2" fillId="3" borderId="1" xfId="14" applyNumberFormat="1" applyFont="1" applyFill="1" applyBorder="1" applyAlignment="1">
      <alignment horizontal="center" vertical="center" wrapText="1"/>
    </xf>
    <xf numFmtId="3" fontId="0" fillId="0" borderId="1" xfId="15" applyNumberFormat="1" applyFont="1" applyFill="1" applyBorder="1" applyAlignment="1">
      <alignment horizontal="center" vertical="center" wrapText="1"/>
    </xf>
    <xf numFmtId="3" fontId="2" fillId="0" borderId="1" xfId="14" applyNumberFormat="1" applyFont="1" applyBorder="1" applyAlignment="1">
      <alignment horizontal="center" vertical="center" wrapText="1"/>
    </xf>
    <xf numFmtId="0" fontId="5" fillId="4" borderId="1" xfId="14" applyFill="1" applyBorder="1" applyAlignment="1">
      <alignment horizontal="center" vertical="center" wrapText="1"/>
    </xf>
    <xf numFmtId="1" fontId="5" fillId="4" borderId="1" xfId="14" applyNumberFormat="1" applyFill="1" applyBorder="1" applyAlignment="1">
      <alignment horizontal="center" vertical="center" wrapText="1"/>
    </xf>
    <xf numFmtId="166" fontId="5" fillId="4" borderId="1" xfId="13" applyNumberFormat="1" applyFont="1" applyFill="1" applyBorder="1" applyAlignment="1">
      <alignment horizontal="center" vertical="center" wrapText="1"/>
    </xf>
    <xf numFmtId="4" fontId="5" fillId="4" borderId="1" xfId="14" applyNumberFormat="1" applyFill="1" applyBorder="1" applyAlignment="1">
      <alignment horizontal="center" vertical="center" wrapText="1"/>
    </xf>
    <xf numFmtId="8" fontId="5" fillId="4" borderId="1" xfId="14" applyNumberFormat="1" applyFill="1" applyBorder="1" applyAlignment="1">
      <alignment horizontal="center" vertical="center" wrapText="1"/>
    </xf>
    <xf numFmtId="8" fontId="2" fillId="2" borderId="1" xfId="14" applyNumberFormat="1" applyFont="1" applyFill="1" applyBorder="1" applyAlignment="1">
      <alignment horizontal="center" vertical="center" wrapText="1"/>
    </xf>
    <xf numFmtId="0" fontId="2" fillId="4" borderId="1" xfId="14" applyFont="1" applyFill="1" applyBorder="1" applyAlignment="1">
      <alignment horizontal="center" vertical="center" wrapText="1"/>
    </xf>
    <xf numFmtId="8" fontId="5" fillId="2" borderId="1" xfId="14" applyNumberFormat="1" applyFill="1" applyBorder="1" applyAlignment="1">
      <alignment horizontal="center" vertical="center" wrapText="1"/>
    </xf>
    <xf numFmtId="0" fontId="2" fillId="8" borderId="1" xfId="14" applyFont="1" applyFill="1" applyBorder="1" applyAlignment="1">
      <alignment horizontal="center" vertical="center" wrapText="1"/>
    </xf>
    <xf numFmtId="9" fontId="0" fillId="4" borderId="1" xfId="0" applyNumberFormat="1" applyFill="1" applyBorder="1"/>
    <xf numFmtId="0" fontId="12" fillId="0" borderId="0" xfId="0" applyFont="1"/>
    <xf numFmtId="10" fontId="0" fillId="4" borderId="1" xfId="0" applyNumberFormat="1" applyFill="1" applyBorder="1"/>
    <xf numFmtId="10" fontId="5" fillId="0" borderId="0" xfId="3" applyNumberFormat="1" applyFill="1"/>
    <xf numFmtId="3" fontId="5" fillId="0" borderId="0" xfId="3" applyNumberFormat="1" applyFill="1"/>
    <xf numFmtId="0" fontId="5" fillId="0" borderId="0" xfId="14" applyAlignment="1">
      <alignment horizontal="center" vertical="center" wrapText="1"/>
    </xf>
    <xf numFmtId="0" fontId="5" fillId="0" borderId="0" xfId="14" applyAlignment="1">
      <alignment horizontal="center" vertical="center" wrapText="1"/>
    </xf>
    <xf numFmtId="0" fontId="5" fillId="2" borderId="1" xfId="3" applyFill="1" applyBorder="1" applyAlignment="1">
      <alignment horizontal="center" vertical="center" wrapText="1"/>
    </xf>
    <xf numFmtId="0" fontId="6" fillId="4" borderId="15" xfId="3" applyFont="1" applyFill="1" applyBorder="1" applyAlignment="1">
      <alignment horizontal="center" vertical="center" wrapText="1"/>
    </xf>
    <xf numFmtId="0" fontId="0" fillId="4" borderId="16" xfId="3" applyFont="1" applyFill="1" applyBorder="1" applyAlignment="1">
      <alignment horizontal="center" vertical="center" wrapText="1"/>
    </xf>
    <xf numFmtId="0" fontId="20" fillId="4" borderId="17" xfId="3" applyFont="1" applyFill="1" applyBorder="1" applyAlignment="1">
      <alignment horizontal="center" vertical="center" wrapText="1"/>
    </xf>
    <xf numFmtId="0" fontId="20" fillId="4" borderId="18" xfId="3" applyFont="1" applyFill="1" applyBorder="1" applyAlignment="1">
      <alignment horizontal="center" vertical="center" wrapText="1"/>
    </xf>
    <xf numFmtId="0" fontId="6" fillId="4" borderId="17" xfId="3" applyFont="1" applyFill="1" applyBorder="1" applyAlignment="1">
      <alignment horizontal="center" vertical="center" wrapText="1"/>
    </xf>
    <xf numFmtId="166" fontId="0" fillId="4" borderId="18" xfId="4" applyNumberFormat="1" applyFont="1" applyFill="1" applyBorder="1" applyAlignment="1">
      <alignment horizontal="center" vertical="center" wrapText="1"/>
    </xf>
    <xf numFmtId="0" fontId="6" fillId="4" borderId="19" xfId="3" applyFont="1" applyFill="1" applyBorder="1" applyAlignment="1">
      <alignment horizontal="center" vertical="center" wrapText="1"/>
    </xf>
    <xf numFmtId="166" fontId="0" fillId="4" borderId="20" xfId="4" applyNumberFormat="1" applyFont="1" applyFill="1" applyBorder="1" applyAlignment="1">
      <alignment horizontal="center" vertical="center" wrapText="1"/>
    </xf>
    <xf numFmtId="0" fontId="0" fillId="4" borderId="24" xfId="3" applyFont="1" applyFill="1" applyBorder="1" applyAlignment="1">
      <alignment horizontal="center" vertical="center" wrapText="1"/>
    </xf>
    <xf numFmtId="0" fontId="5" fillId="4" borderId="24" xfId="3" applyFill="1" applyBorder="1" applyAlignment="1">
      <alignment horizontal="center" vertical="center" wrapText="1"/>
    </xf>
    <xf numFmtId="10" fontId="5" fillId="4" borderId="25" xfId="3" applyNumberFormat="1" applyFill="1" applyBorder="1" applyAlignment="1">
      <alignment horizontal="center" vertical="center" wrapText="1"/>
    </xf>
    <xf numFmtId="0" fontId="5" fillId="4" borderId="25" xfId="3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9" fillId="0" borderId="0" xfId="14" applyFont="1" applyAlignment="1">
      <alignment horizontal="center" vertical="center" wrapText="1"/>
    </xf>
    <xf numFmtId="3" fontId="5" fillId="0" borderId="5" xfId="3" applyNumberFormat="1" applyBorder="1" applyAlignment="1">
      <alignment horizontal="center" vertical="center" wrapText="1"/>
    </xf>
    <xf numFmtId="3" fontId="5" fillId="0" borderId="1" xfId="3" applyNumberFormat="1" applyBorder="1" applyAlignment="1">
      <alignment horizontal="center" vertical="center" wrapText="1"/>
    </xf>
    <xf numFmtId="3" fontId="5" fillId="5" borderId="5" xfId="3" applyNumberFormat="1" applyFill="1" applyBorder="1" applyAlignment="1">
      <alignment horizontal="center" vertical="center" wrapText="1"/>
    </xf>
    <xf numFmtId="3" fontId="5" fillId="5" borderId="1" xfId="3" applyNumberFormat="1" applyFill="1" applyBorder="1" applyAlignment="1">
      <alignment horizontal="center" vertical="center" wrapText="1"/>
    </xf>
    <xf numFmtId="0" fontId="2" fillId="7" borderId="4" xfId="14" applyFont="1" applyFill="1" applyBorder="1" applyAlignment="1">
      <alignment horizontal="center" vertical="center" wrapText="1"/>
    </xf>
    <xf numFmtId="0" fontId="2" fillId="7" borderId="6" xfId="14" applyFont="1" applyFill="1" applyBorder="1" applyAlignment="1">
      <alignment horizontal="center" vertical="center" wrapText="1"/>
    </xf>
    <xf numFmtId="0" fontId="2" fillId="7" borderId="5" xfId="14" applyFont="1" applyFill="1" applyBorder="1" applyAlignment="1">
      <alignment horizontal="center" vertical="center" wrapText="1"/>
    </xf>
    <xf numFmtId="0" fontId="8" fillId="0" borderId="0" xfId="7" applyAlignment="1">
      <alignment horizontal="center" vertical="center" wrapText="1"/>
    </xf>
    <xf numFmtId="0" fontId="5" fillId="0" borderId="0" xfId="14" applyAlignment="1">
      <alignment horizontal="center" vertical="center" wrapText="1"/>
    </xf>
    <xf numFmtId="0" fontId="5" fillId="2" borderId="1" xfId="14" applyFill="1" applyBorder="1" applyAlignment="1">
      <alignment horizontal="center" vertical="center" wrapText="1"/>
    </xf>
    <xf numFmtId="0" fontId="1" fillId="4" borderId="21" xfId="3" applyFont="1" applyFill="1" applyBorder="1" applyAlignment="1">
      <alignment horizontal="center" vertical="center" wrapText="1"/>
    </xf>
    <xf numFmtId="0" fontId="1" fillId="4" borderId="22" xfId="3" applyFont="1" applyFill="1" applyBorder="1" applyAlignment="1">
      <alignment horizontal="center" vertical="center" wrapText="1"/>
    </xf>
    <xf numFmtId="0" fontId="1" fillId="4" borderId="23" xfId="3" applyFont="1" applyFill="1" applyBorder="1" applyAlignment="1">
      <alignment horizontal="center" vertical="center" wrapText="1"/>
    </xf>
    <xf numFmtId="0" fontId="2" fillId="7" borderId="4" xfId="3" applyFont="1" applyFill="1" applyBorder="1" applyAlignment="1">
      <alignment horizontal="center" vertical="center" wrapText="1"/>
    </xf>
    <xf numFmtId="0" fontId="2" fillId="7" borderId="6" xfId="3" applyFont="1" applyFill="1" applyBorder="1" applyAlignment="1">
      <alignment horizontal="center" vertical="center" wrapText="1"/>
    </xf>
    <xf numFmtId="0" fontId="2" fillId="7" borderId="5" xfId="3" applyFont="1" applyFill="1" applyBorder="1" applyAlignment="1">
      <alignment horizontal="center" vertical="center" wrapText="1"/>
    </xf>
    <xf numFmtId="0" fontId="5" fillId="2" borderId="1" xfId="3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7">
    <cellStyle name="Comma" xfId="1" builtinId="3"/>
    <cellStyle name="Comma 2" xfId="6" xr:uid="{939AAECC-FB9E-45AE-B3CB-47BBEFF33DAF}"/>
    <cellStyle name="Comma 2 2" xfId="11" xr:uid="{0E52729B-0ACF-4703-BF88-AAD347A86126}"/>
    <cellStyle name="Comma 2 3" xfId="12" xr:uid="{765858C6-A223-4F29-8F75-65A5966E9881}"/>
    <cellStyle name="Currency 2" xfId="5" xr:uid="{139E0FA3-ECCD-4D6A-AB3D-B82DC0DB3E82}"/>
    <cellStyle name="Currency 2 2" xfId="15" xr:uid="{57CA34CB-8ADB-4C48-8316-4F0B69ACEC9D}"/>
    <cellStyle name="Hyperlink 2" xfId="7" xr:uid="{05FEB199-19BE-495F-8D68-471CC15BB298}"/>
    <cellStyle name="Hyperlink 3" xfId="10" xr:uid="{E4153BD7-37CC-47CF-BE14-D20DDFDC1324}"/>
    <cellStyle name="Normal" xfId="0" builtinId="0"/>
    <cellStyle name="Normal 2" xfId="3" xr:uid="{C4ED93EA-148B-4434-8AB1-A6A7035B5ED2}"/>
    <cellStyle name="Normal 2 2" xfId="14" xr:uid="{140A08BE-069F-4A2A-9945-C235100A82C3}"/>
    <cellStyle name="Normal 3" xfId="8" xr:uid="{4B7DBAFC-DD82-4B94-9464-ECE3901054F6}"/>
    <cellStyle name="Normal 3 2" xfId="16" xr:uid="{5054C55C-5DA1-40C0-A4FE-8F65E1D4CFB3}"/>
    <cellStyle name="Percent" xfId="2" builtinId="5"/>
    <cellStyle name="Percent 2" xfId="4" xr:uid="{E5FBE53F-025D-4620-A688-16FA01C68F0B}"/>
    <cellStyle name="Percent 3" xfId="9" xr:uid="{9DE6E8BA-846E-499E-9960-AFE8E4495F7D}"/>
    <cellStyle name="Percent 3 2" xfId="13" xr:uid="{7AD3F962-BAF6-48E8-8F6B-55EFD330DE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ji%20dokumenti_excel\MEDNARODNI-RA&#268;-STANDARDI\bb_2006-MSRP\bb_30JUN2006_MSR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nidoo.sharepoint.com/GENI%20Sonce/STORITVE/Jan%20T/PX3%20SLO_mod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_30JUN2006"/>
      <sheetName val="BIFO_MSRP_PE"/>
      <sheetName val="KONTO_MSRP_PE"/>
      <sheetName val="BIFO_OE"/>
      <sheetName val="KONTO_OE"/>
      <sheetName val="BIFO_SM"/>
      <sheetName val="KONTO_SM"/>
      <sheetName val="BIFO_DEV"/>
      <sheetName val="KONTO_DEV"/>
      <sheetName val="bb_Povprečja_JAN-SEP2006"/>
      <sheetName val="povp_BIFO_PE"/>
      <sheetName val="povp_KONTO_PE"/>
      <sheetName val="povp_BIFO_OE"/>
      <sheetName val="povp_KONTO_OE"/>
      <sheetName val="povp_BIFO_DEV"/>
      <sheetName val="povp_KONTO_D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A1" t="str">
            <v>Vsota od POVPREČJE V BREME</v>
          </cell>
        </row>
        <row r="11">
          <cell r="B11">
            <v>-15493083.109999999</v>
          </cell>
          <cell r="C11">
            <v>-1877600.03</v>
          </cell>
          <cell r="D11">
            <v>-1451507.92</v>
          </cell>
          <cell r="E11">
            <v>-522330.37</v>
          </cell>
          <cell r="F11">
            <v>-1827390.63</v>
          </cell>
          <cell r="G11">
            <v>-175560.14</v>
          </cell>
          <cell r="H11">
            <v>-945435.27</v>
          </cell>
          <cell r="I11">
            <v>-139818.62</v>
          </cell>
          <cell r="J11">
            <v>-1745628.1599999999</v>
          </cell>
          <cell r="K11">
            <v>-328036.09999999998</v>
          </cell>
          <cell r="L11">
            <v>-388179.68</v>
          </cell>
          <cell r="M11">
            <v>-24894570.030000005</v>
          </cell>
        </row>
        <row r="12">
          <cell r="B12">
            <v>-9101219.2400000002</v>
          </cell>
          <cell r="C12">
            <v>-325968.75</v>
          </cell>
          <cell r="I12">
            <v>338629.08</v>
          </cell>
          <cell r="J12">
            <v>-5456.76</v>
          </cell>
          <cell r="M12">
            <v>-9094015.6699999999</v>
          </cell>
        </row>
        <row r="13">
          <cell r="B13">
            <v>-3323892</v>
          </cell>
          <cell r="M13">
            <v>-3323892</v>
          </cell>
        </row>
        <row r="14">
          <cell r="B14">
            <v>764580230.45999992</v>
          </cell>
          <cell r="C14">
            <v>70681842.829999998</v>
          </cell>
          <cell r="D14">
            <v>83952591.129999995</v>
          </cell>
          <cell r="E14">
            <v>41963316.699999981</v>
          </cell>
          <cell r="F14">
            <v>78146438.399999976</v>
          </cell>
          <cell r="G14">
            <v>42025214.930000007</v>
          </cell>
          <cell r="H14">
            <v>98168154.880000055</v>
          </cell>
          <cell r="I14">
            <v>41440583.780000009</v>
          </cell>
          <cell r="J14">
            <v>100410639.24999996</v>
          </cell>
          <cell r="K14">
            <v>43834201.309999995</v>
          </cell>
          <cell r="L14">
            <v>30784820.95999999</v>
          </cell>
          <cell r="M14">
            <v>1395988034.6299999</v>
          </cell>
        </row>
        <row r="15">
          <cell r="B15">
            <v>14642364.98</v>
          </cell>
          <cell r="C15">
            <v>1715964.42</v>
          </cell>
          <cell r="D15">
            <v>1236646.7</v>
          </cell>
          <cell r="E15">
            <v>360351.81</v>
          </cell>
          <cell r="F15">
            <v>1643879.15</v>
          </cell>
          <cell r="G15">
            <v>149174.98000000001</v>
          </cell>
          <cell r="H15">
            <v>797658.86</v>
          </cell>
          <cell r="I15">
            <v>65995.289999999994</v>
          </cell>
          <cell r="J15">
            <v>1330054.6499999999</v>
          </cell>
          <cell r="K15">
            <v>214616.47</v>
          </cell>
          <cell r="L15">
            <v>275052.07</v>
          </cell>
          <cell r="M15">
            <v>22431759.379999995</v>
          </cell>
        </row>
        <row r="16">
          <cell r="B16">
            <v>-338399610.86999995</v>
          </cell>
          <cell r="M16">
            <v>-338399610.86999995</v>
          </cell>
        </row>
        <row r="17">
          <cell r="B17">
            <v>-12071495.350000001</v>
          </cell>
          <cell r="D17">
            <v>-5130329.25</v>
          </cell>
          <cell r="F17">
            <v>-3478687.33</v>
          </cell>
          <cell r="M17">
            <v>-20680511.93</v>
          </cell>
        </row>
        <row r="18">
          <cell r="B18">
            <v>-97872.43</v>
          </cell>
          <cell r="M18">
            <v>-97872.43</v>
          </cell>
        </row>
        <row r="19">
          <cell r="B19">
            <v>-443988.11</v>
          </cell>
          <cell r="C19">
            <v>-22626551.73</v>
          </cell>
          <cell r="D19">
            <v>-0.22</v>
          </cell>
          <cell r="F19">
            <v>-5462251.8899999997</v>
          </cell>
          <cell r="L19">
            <v>-20211613.48</v>
          </cell>
          <cell r="M19">
            <v>-48744405.43</v>
          </cell>
        </row>
        <row r="20">
          <cell r="B20">
            <v>-10606786.460000001</v>
          </cell>
          <cell r="M20">
            <v>-10606786.460000001</v>
          </cell>
        </row>
        <row r="21">
          <cell r="B21">
            <v>254033881.31999999</v>
          </cell>
          <cell r="G21">
            <v>23478</v>
          </cell>
          <cell r="H21">
            <v>0</v>
          </cell>
          <cell r="M21">
            <v>254057359.31999999</v>
          </cell>
        </row>
        <row r="22">
          <cell r="B22">
            <v>3240225.71</v>
          </cell>
          <cell r="D22">
            <v>5000939.76</v>
          </cell>
          <cell r="F22">
            <v>3468226.96</v>
          </cell>
          <cell r="M22">
            <v>11709392.43</v>
          </cell>
        </row>
        <row r="23">
          <cell r="B23">
            <v>-45746609.43</v>
          </cell>
          <cell r="M23">
            <v>-45746609.43</v>
          </cell>
        </row>
        <row r="24">
          <cell r="B24">
            <v>-633225963.86999989</v>
          </cell>
          <cell r="M24">
            <v>-633225963.86999989</v>
          </cell>
        </row>
        <row r="25">
          <cell r="B25">
            <v>-5100000</v>
          </cell>
          <cell r="M25">
            <v>-5100000</v>
          </cell>
        </row>
        <row r="26">
          <cell r="B26">
            <v>-200000000</v>
          </cell>
          <cell r="M26">
            <v>-200000000</v>
          </cell>
        </row>
        <row r="27">
          <cell r="B27">
            <v>-219348750.96000001</v>
          </cell>
          <cell r="M27">
            <v>-219348750.96000001</v>
          </cell>
        </row>
        <row r="28">
          <cell r="B28">
            <v>-4940000</v>
          </cell>
          <cell r="C28">
            <v>-50286057.600000001</v>
          </cell>
          <cell r="M28">
            <v>-55226057.600000001</v>
          </cell>
        </row>
        <row r="29">
          <cell r="B29">
            <v>-76360648.739999995</v>
          </cell>
          <cell r="C29">
            <v>-74713942.400000006</v>
          </cell>
          <cell r="M29">
            <v>-151074591.13999999</v>
          </cell>
        </row>
        <row r="30">
          <cell r="B30">
            <v>-221464349.13999999</v>
          </cell>
          <cell r="M30">
            <v>-221464349.13999999</v>
          </cell>
        </row>
        <row r="31">
          <cell r="B31">
            <v>-3485759.65</v>
          </cell>
          <cell r="M31">
            <v>-3485759.65</v>
          </cell>
        </row>
        <row r="32">
          <cell r="B32">
            <v>-222569.45</v>
          </cell>
          <cell r="C32">
            <v>-81739.259999999995</v>
          </cell>
          <cell r="F32">
            <v>-172885.83</v>
          </cell>
          <cell r="G32">
            <v>-194831.71</v>
          </cell>
          <cell r="I32">
            <v>-146413.35999999999</v>
          </cell>
          <cell r="J32">
            <v>-947564.01</v>
          </cell>
          <cell r="K32">
            <v>-4966.66</v>
          </cell>
          <cell r="M32">
            <v>-1770970.28</v>
          </cell>
        </row>
        <row r="33">
          <cell r="B33">
            <v>-1871662122.52</v>
          </cell>
          <cell r="M33">
            <v>-1871662122.52</v>
          </cell>
        </row>
        <row r="34">
          <cell r="B34">
            <v>-249965.41</v>
          </cell>
          <cell r="C34">
            <v>382443.1</v>
          </cell>
          <cell r="D34">
            <v>1136064.82</v>
          </cell>
          <cell r="E34">
            <v>187699.68</v>
          </cell>
          <cell r="F34">
            <v>275741</v>
          </cell>
          <cell r="G34">
            <v>862642.14</v>
          </cell>
          <cell r="H34">
            <v>590626.07999999996</v>
          </cell>
          <cell r="I34">
            <v>349601.26</v>
          </cell>
          <cell r="J34">
            <v>1038086.26</v>
          </cell>
          <cell r="K34">
            <v>170006.92</v>
          </cell>
          <cell r="L34">
            <v>20645.310000000001</v>
          </cell>
          <cell r="M34">
            <v>4763591.16</v>
          </cell>
        </row>
        <row r="35">
          <cell r="B35">
            <v>1751.37</v>
          </cell>
          <cell r="M35">
            <v>1751.37</v>
          </cell>
        </row>
        <row r="36">
          <cell r="B36">
            <v>-107026739.07999998</v>
          </cell>
          <cell r="C36">
            <v>-58108094.93</v>
          </cell>
          <cell r="D36">
            <v>-67463021.770000011</v>
          </cell>
          <cell r="E36">
            <v>-69864738.519999996</v>
          </cell>
          <cell r="F36">
            <v>-57863605.120000005</v>
          </cell>
          <cell r="G36">
            <v>-113782648.41999999</v>
          </cell>
          <cell r="H36">
            <v>-49567474.089999996</v>
          </cell>
          <cell r="I36">
            <v>-34032100.670000009</v>
          </cell>
          <cell r="J36">
            <v>-94115110.640000001</v>
          </cell>
          <cell r="K36">
            <v>-44735955.68</v>
          </cell>
          <cell r="L36">
            <v>-27133040.490000002</v>
          </cell>
          <cell r="M36">
            <v>-723692529.40999997</v>
          </cell>
        </row>
        <row r="37">
          <cell r="B37">
            <v>-30698529.41</v>
          </cell>
          <cell r="M37">
            <v>-30698529.41</v>
          </cell>
        </row>
        <row r="38">
          <cell r="B38">
            <v>-90363</v>
          </cell>
          <cell r="M38">
            <v>-90363</v>
          </cell>
        </row>
        <row r="39">
          <cell r="B39">
            <v>-77070975.25</v>
          </cell>
          <cell r="M39">
            <v>-77070975.25</v>
          </cell>
        </row>
        <row r="40">
          <cell r="B40">
            <v>0</v>
          </cell>
          <cell r="M40">
            <v>0</v>
          </cell>
        </row>
        <row r="41">
          <cell r="B41">
            <v>-406617647.06</v>
          </cell>
          <cell r="M41">
            <v>-406617647.06</v>
          </cell>
        </row>
        <row r="42">
          <cell r="B42">
            <v>-9777946.4800000004</v>
          </cell>
          <cell r="C42">
            <v>-1658396.16</v>
          </cell>
          <cell r="D42">
            <v>-154968.19</v>
          </cell>
          <cell r="E42">
            <v>0</v>
          </cell>
          <cell r="F42">
            <v>-86659.95</v>
          </cell>
          <cell r="G42">
            <v>-15603.4</v>
          </cell>
          <cell r="H42">
            <v>-35463.089999999997</v>
          </cell>
          <cell r="I42">
            <v>-357665.71</v>
          </cell>
          <cell r="J42">
            <v>-1351369.62</v>
          </cell>
          <cell r="K42">
            <v>-9423.93</v>
          </cell>
          <cell r="L42">
            <v>-21990.04</v>
          </cell>
          <cell r="M42">
            <v>-13469486.57</v>
          </cell>
        </row>
        <row r="43">
          <cell r="B43">
            <v>5041369.82</v>
          </cell>
          <cell r="C43">
            <v>1168025.73</v>
          </cell>
          <cell r="D43">
            <v>52635.64</v>
          </cell>
          <cell r="E43">
            <v>0</v>
          </cell>
          <cell r="G43">
            <v>15604.97</v>
          </cell>
          <cell r="H43">
            <v>11554.7</v>
          </cell>
          <cell r="I43">
            <v>95349.71</v>
          </cell>
          <cell r="J43">
            <v>63628.55</v>
          </cell>
          <cell r="K43">
            <v>9423.93</v>
          </cell>
          <cell r="L43">
            <v>21990.04</v>
          </cell>
          <cell r="M43">
            <v>6479583.089999998</v>
          </cell>
        </row>
        <row r="44">
          <cell r="B44">
            <v>-174009269.53</v>
          </cell>
          <cell r="M44">
            <v>-174009269.53</v>
          </cell>
        </row>
        <row r="45">
          <cell r="B45">
            <v>-258544186.36000001</v>
          </cell>
          <cell r="M45">
            <v>-258544186.36000001</v>
          </cell>
        </row>
        <row r="46">
          <cell r="B46">
            <v>-3942169.6</v>
          </cell>
          <cell r="M46">
            <v>-3942169.6</v>
          </cell>
        </row>
        <row r="47">
          <cell r="B47">
            <v>-2327990521.3699999</v>
          </cell>
          <cell r="M47">
            <v>-2327990521.3699999</v>
          </cell>
        </row>
        <row r="48">
          <cell r="B48">
            <v>-159671766.34999952</v>
          </cell>
          <cell r="C48">
            <v>-3464515.63</v>
          </cell>
          <cell r="D48">
            <v>-1420159.2600000729</v>
          </cell>
          <cell r="E48">
            <v>-558084.05000000005</v>
          </cell>
          <cell r="F48">
            <v>-637994.32999999996</v>
          </cell>
          <cell r="G48">
            <v>-1208.0999999999999</v>
          </cell>
          <cell r="H48">
            <v>-61532.31</v>
          </cell>
          <cell r="I48">
            <v>-5021997.87</v>
          </cell>
          <cell r="J48">
            <v>-4708278.8300000066</v>
          </cell>
          <cell r="K48">
            <v>-495503.22999999922</v>
          </cell>
          <cell r="L48">
            <v>-112994.33</v>
          </cell>
          <cell r="M48">
            <v>-176154034.28999963</v>
          </cell>
        </row>
        <row r="49">
          <cell r="B49">
            <v>-15739427.489999998</v>
          </cell>
          <cell r="C49">
            <v>-260879.32</v>
          </cell>
          <cell r="D49">
            <v>-1017894.57</v>
          </cell>
          <cell r="E49">
            <v>-156503.85</v>
          </cell>
          <cell r="F49">
            <v>-338426.48</v>
          </cell>
          <cell r="G49">
            <v>-342729.37</v>
          </cell>
          <cell r="H49">
            <v>-72474.69</v>
          </cell>
          <cell r="I49">
            <v>-1013207.91</v>
          </cell>
          <cell r="J49">
            <v>-1136619.1000000001</v>
          </cell>
          <cell r="K49">
            <v>-848320.85</v>
          </cell>
          <cell r="L49">
            <v>-82785.710000000006</v>
          </cell>
          <cell r="M49">
            <v>-21009269.340000007</v>
          </cell>
        </row>
        <row r="50">
          <cell r="B50">
            <v>-1629703.15</v>
          </cell>
          <cell r="M50">
            <v>-1629703.15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-469722.87</v>
          </cell>
          <cell r="M52">
            <v>-469722.87</v>
          </cell>
        </row>
        <row r="53">
          <cell r="D53">
            <v>-51811.199999999997</v>
          </cell>
          <cell r="F53">
            <v>-1864.06</v>
          </cell>
          <cell r="M53">
            <v>-53675.26</v>
          </cell>
        </row>
        <row r="54">
          <cell r="B54">
            <v>0</v>
          </cell>
          <cell r="M54">
            <v>0</v>
          </cell>
        </row>
        <row r="55">
          <cell r="B55">
            <v>-16715.07</v>
          </cell>
          <cell r="M55">
            <v>-16715.07</v>
          </cell>
        </row>
        <row r="56">
          <cell r="B56">
            <v>-19947.71</v>
          </cell>
          <cell r="M56">
            <v>-19947.71</v>
          </cell>
        </row>
        <row r="57">
          <cell r="B57">
            <v>-167844.36</v>
          </cell>
          <cell r="F57">
            <v>-3307.38</v>
          </cell>
          <cell r="I57">
            <v>-23649.02</v>
          </cell>
          <cell r="M57">
            <v>-194800.76</v>
          </cell>
        </row>
        <row r="58">
          <cell r="B58">
            <v>0</v>
          </cell>
          <cell r="C58">
            <v>-265608.43</v>
          </cell>
          <cell r="D58">
            <v>-361007.65999999264</v>
          </cell>
          <cell r="E58">
            <v>-354024.40999999858</v>
          </cell>
          <cell r="F58">
            <v>-294329.03999999922</v>
          </cell>
          <cell r="G58">
            <v>-205539.97000000087</v>
          </cell>
          <cell r="H58">
            <v>-759263.86999999906</v>
          </cell>
          <cell r="I58">
            <v>-273481.56000000081</v>
          </cell>
          <cell r="J58">
            <v>-3101295.6100000092</v>
          </cell>
          <cell r="K58">
            <v>-232992.07</v>
          </cell>
          <cell r="L58">
            <v>-249568.28</v>
          </cell>
          <cell r="M58">
            <v>-6097110.9000000013</v>
          </cell>
        </row>
        <row r="59">
          <cell r="B59">
            <v>-722280.95000000298</v>
          </cell>
          <cell r="C59">
            <v>-1513417.26</v>
          </cell>
          <cell r="D59">
            <v>-761036.62000000174</v>
          </cell>
          <cell r="E59">
            <v>-1180026.3999999999</v>
          </cell>
          <cell r="F59">
            <v>-1157899.42</v>
          </cell>
          <cell r="G59">
            <v>-204886.91</v>
          </cell>
          <cell r="H59">
            <v>-143325.91</v>
          </cell>
          <cell r="I59">
            <v>-8292487.3300000047</v>
          </cell>
          <cell r="J59">
            <v>1397365.75</v>
          </cell>
          <cell r="K59">
            <v>-3376618.58</v>
          </cell>
          <cell r="L59">
            <v>-183779.78</v>
          </cell>
          <cell r="M59">
            <v>-16138393.410000019</v>
          </cell>
        </row>
        <row r="60">
          <cell r="B60">
            <v>0</v>
          </cell>
          <cell r="M60">
            <v>0</v>
          </cell>
        </row>
        <row r="61">
          <cell r="B61">
            <v>-11815888.059999999</v>
          </cell>
          <cell r="C61">
            <v>125352.91</v>
          </cell>
          <cell r="D61">
            <v>-131099.22</v>
          </cell>
          <cell r="E61">
            <v>-30185.97</v>
          </cell>
          <cell r="F61">
            <v>14983.05</v>
          </cell>
          <cell r="I61">
            <v>-491412.31</v>
          </cell>
          <cell r="J61">
            <v>-118081.93</v>
          </cell>
          <cell r="K61">
            <v>-208280.97</v>
          </cell>
          <cell r="L61">
            <v>3591.95</v>
          </cell>
          <cell r="M61">
            <v>-12651020.550000001</v>
          </cell>
        </row>
        <row r="62">
          <cell r="B62">
            <v>-18167626.199999999</v>
          </cell>
          <cell r="C62">
            <v>2946.59</v>
          </cell>
          <cell r="D62">
            <v>-24809.38</v>
          </cell>
          <cell r="E62">
            <v>35875.040000000001</v>
          </cell>
          <cell r="F62">
            <v>-34518.83</v>
          </cell>
          <cell r="G62">
            <v>-1562.37</v>
          </cell>
          <cell r="H62">
            <v>-24802.94</v>
          </cell>
          <cell r="I62">
            <v>-63901.33</v>
          </cell>
          <cell r="J62">
            <v>-86631.02</v>
          </cell>
          <cell r="K62">
            <v>-46099.71</v>
          </cell>
          <cell r="L62">
            <v>-14192.4</v>
          </cell>
          <cell r="M62">
            <v>-18425322.549999997</v>
          </cell>
        </row>
        <row r="63">
          <cell r="B63">
            <v>-2776231.08</v>
          </cell>
          <cell r="M63">
            <v>-2776231.08</v>
          </cell>
        </row>
        <row r="64">
          <cell r="B64">
            <v>202254.33</v>
          </cell>
          <cell r="M64">
            <v>202254.33</v>
          </cell>
        </row>
        <row r="65">
          <cell r="B65">
            <v>-363963657.66000003</v>
          </cell>
          <cell r="J65">
            <v>-4424562.04</v>
          </cell>
          <cell r="M65">
            <v>-368388219.70000005</v>
          </cell>
        </row>
        <row r="66">
          <cell r="B66">
            <v>303756633.04000002</v>
          </cell>
          <cell r="J66">
            <v>4424562.04</v>
          </cell>
          <cell r="M66">
            <v>308181195.08000004</v>
          </cell>
        </row>
        <row r="67">
          <cell r="B67">
            <v>-8572760.1099999994</v>
          </cell>
          <cell r="C67">
            <v>-25771.03</v>
          </cell>
          <cell r="J67">
            <v>-183.82</v>
          </cell>
          <cell r="L67">
            <v>-2399.7199999999998</v>
          </cell>
          <cell r="M67">
            <v>-8601114.6799999997</v>
          </cell>
        </row>
        <row r="68">
          <cell r="B68">
            <v>-7825904.2300000004</v>
          </cell>
          <cell r="G68">
            <v>0</v>
          </cell>
          <cell r="I68">
            <v>-9375</v>
          </cell>
          <cell r="J68">
            <v>-661.76</v>
          </cell>
          <cell r="M68">
            <v>-7835940.9900000002</v>
          </cell>
        </row>
        <row r="69">
          <cell r="B69">
            <v>-70523136.620000005</v>
          </cell>
          <cell r="M69">
            <v>-70523136.620000005</v>
          </cell>
        </row>
        <row r="70">
          <cell r="B70">
            <v>-158800.20000000001</v>
          </cell>
          <cell r="M70">
            <v>-158800.20000000001</v>
          </cell>
        </row>
        <row r="71">
          <cell r="B71">
            <v>-11761489.810000001</v>
          </cell>
          <cell r="M71">
            <v>-11761489.810000001</v>
          </cell>
        </row>
        <row r="72">
          <cell r="B72">
            <v>-47817.78</v>
          </cell>
          <cell r="M72">
            <v>-47817.78</v>
          </cell>
        </row>
        <row r="73">
          <cell r="B73">
            <v>-83504405.050000012</v>
          </cell>
          <cell r="C73">
            <v>-1274618.79</v>
          </cell>
          <cell r="D73">
            <v>-865720.04</v>
          </cell>
          <cell r="F73">
            <v>-437916.69</v>
          </cell>
          <cell r="G73">
            <v>136888.87</v>
          </cell>
          <cell r="J73">
            <v>-3008170.47</v>
          </cell>
          <cell r="K73">
            <v>-512593.18</v>
          </cell>
          <cell r="L73">
            <v>-1843574.45</v>
          </cell>
          <cell r="M73">
            <v>-91310109.800000027</v>
          </cell>
        </row>
        <row r="74">
          <cell r="B74">
            <v>-61345.14</v>
          </cell>
          <cell r="M74">
            <v>-61345.14</v>
          </cell>
        </row>
        <row r="75">
          <cell r="B75">
            <v>-137348539.96999997</v>
          </cell>
          <cell r="C75">
            <v>-536640.23</v>
          </cell>
          <cell r="D75">
            <v>-1885254.3</v>
          </cell>
          <cell r="E75">
            <v>-203583.6</v>
          </cell>
          <cell r="F75">
            <v>-461447.32</v>
          </cell>
          <cell r="G75">
            <v>-345987.9</v>
          </cell>
          <cell r="H75">
            <v>-168370.66</v>
          </cell>
          <cell r="I75">
            <v>-130559.8</v>
          </cell>
          <cell r="J75">
            <v>-25517691.820000008</v>
          </cell>
          <cell r="K75">
            <v>-3132252.67</v>
          </cell>
          <cell r="L75">
            <v>-2441880.7599999998</v>
          </cell>
          <cell r="M75">
            <v>-172172209.02999994</v>
          </cell>
        </row>
        <row r="76">
          <cell r="B76">
            <v>39100302.240000002</v>
          </cell>
          <cell r="C76">
            <v>507583.56</v>
          </cell>
          <cell r="D76">
            <v>601286.04</v>
          </cell>
          <cell r="E76">
            <v>166668.91</v>
          </cell>
          <cell r="F76">
            <v>361052.25</v>
          </cell>
          <cell r="G76">
            <v>102900.14</v>
          </cell>
          <cell r="H76">
            <v>16531.2</v>
          </cell>
          <cell r="I76">
            <v>5869.88</v>
          </cell>
          <cell r="J76">
            <v>15391769.089999998</v>
          </cell>
          <cell r="K76">
            <v>2834815.52</v>
          </cell>
          <cell r="L76">
            <v>2405593.75</v>
          </cell>
          <cell r="M76">
            <v>61494372.580000006</v>
          </cell>
        </row>
        <row r="77">
          <cell r="B77">
            <v>-3702500.72</v>
          </cell>
          <cell r="M77">
            <v>-3702500.72</v>
          </cell>
        </row>
        <row r="78">
          <cell r="G78">
            <v>-528574.03</v>
          </cell>
          <cell r="H78">
            <v>-1025275.2</v>
          </cell>
          <cell r="I78">
            <v>-1668222.88</v>
          </cell>
          <cell r="M78">
            <v>-3222072.11</v>
          </cell>
        </row>
        <row r="79">
          <cell r="C79">
            <v>0</v>
          </cell>
          <cell r="D79">
            <v>0</v>
          </cell>
          <cell r="F79">
            <v>0</v>
          </cell>
          <cell r="I79">
            <v>0</v>
          </cell>
          <cell r="J79">
            <v>2543.6</v>
          </cell>
          <cell r="K79">
            <v>-1036.21</v>
          </cell>
          <cell r="M79">
            <v>1507.39</v>
          </cell>
        </row>
        <row r="80">
          <cell r="G80">
            <v>528574.03</v>
          </cell>
          <cell r="H80">
            <v>1025275.2</v>
          </cell>
          <cell r="I80">
            <v>1650840.39</v>
          </cell>
          <cell r="M80">
            <v>3204689.62</v>
          </cell>
        </row>
        <row r="81">
          <cell r="B81">
            <v>-18767050.039999999</v>
          </cell>
          <cell r="C81">
            <v>-790121.15</v>
          </cell>
          <cell r="D81">
            <v>-152328.37</v>
          </cell>
          <cell r="E81">
            <v>-1265359.5</v>
          </cell>
          <cell r="F81">
            <v>-1071167.3999999999</v>
          </cell>
          <cell r="G81">
            <v>-12221980.49</v>
          </cell>
          <cell r="H81">
            <v>-706915.08</v>
          </cell>
          <cell r="I81">
            <v>-728398.3</v>
          </cell>
          <cell r="J81">
            <v>-2814768.24</v>
          </cell>
          <cell r="K81">
            <v>-1622387.8</v>
          </cell>
          <cell r="L81">
            <v>-15497.95</v>
          </cell>
          <cell r="M81">
            <v>-40155974.319999993</v>
          </cell>
        </row>
        <row r="82">
          <cell r="B82">
            <v>-2266218.09</v>
          </cell>
          <cell r="M82">
            <v>-2266218.09</v>
          </cell>
        </row>
        <row r="83">
          <cell r="B83">
            <v>-381034432.45999992</v>
          </cell>
          <cell r="M83">
            <v>-381034432.45999992</v>
          </cell>
        </row>
        <row r="84">
          <cell r="B84">
            <v>-76286681.679999992</v>
          </cell>
          <cell r="D84">
            <v>0</v>
          </cell>
          <cell r="E84">
            <v>0</v>
          </cell>
          <cell r="G84">
            <v>-751.36</v>
          </cell>
          <cell r="I84">
            <v>-786.53</v>
          </cell>
          <cell r="J84">
            <v>-14.71</v>
          </cell>
          <cell r="K84">
            <v>0</v>
          </cell>
          <cell r="M84">
            <v>-76288234.279999986</v>
          </cell>
        </row>
        <row r="85">
          <cell r="B85">
            <v>-30052341.390000001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-2868.7</v>
          </cell>
          <cell r="J85">
            <v>0</v>
          </cell>
          <cell r="K85">
            <v>0</v>
          </cell>
          <cell r="L85">
            <v>-109539.26</v>
          </cell>
          <cell r="M85">
            <v>-30164749.350000001</v>
          </cell>
        </row>
        <row r="86">
          <cell r="B86">
            <v>-176.19</v>
          </cell>
          <cell r="G86">
            <v>-560.17999999999995</v>
          </cell>
          <cell r="H86">
            <v>-1654.41</v>
          </cell>
          <cell r="I86">
            <v>-367.65</v>
          </cell>
          <cell r="M86">
            <v>-2758.43</v>
          </cell>
        </row>
        <row r="87">
          <cell r="B87">
            <v>-58015464.359999999</v>
          </cell>
          <cell r="I87">
            <v>-1017.16</v>
          </cell>
          <cell r="J87">
            <v>0</v>
          </cell>
          <cell r="M87">
            <v>-58016481.519999996</v>
          </cell>
        </row>
        <row r="88">
          <cell r="B88">
            <v>-1700.77</v>
          </cell>
          <cell r="M88">
            <v>-1700.77</v>
          </cell>
        </row>
        <row r="89">
          <cell r="B89">
            <v>-16457910.689999999</v>
          </cell>
          <cell r="I89">
            <v>-59900</v>
          </cell>
          <cell r="L89">
            <v>-35312.300000000003</v>
          </cell>
          <cell r="M89">
            <v>-16553122.99</v>
          </cell>
        </row>
        <row r="90">
          <cell r="B90">
            <v>-62795832.900000006</v>
          </cell>
          <cell r="M90">
            <v>-62795832.900000006</v>
          </cell>
        </row>
        <row r="91">
          <cell r="B91">
            <v>27206724.43</v>
          </cell>
          <cell r="M91">
            <v>27206724.43</v>
          </cell>
        </row>
        <row r="92">
          <cell r="B92">
            <v>2816265.58</v>
          </cell>
          <cell r="M92">
            <v>2816265.58</v>
          </cell>
        </row>
        <row r="93">
          <cell r="B93">
            <v>11889898.07</v>
          </cell>
          <cell r="M93">
            <v>11889898.07</v>
          </cell>
        </row>
        <row r="94">
          <cell r="B94">
            <v>2300086.08</v>
          </cell>
          <cell r="M94">
            <v>2300086.08</v>
          </cell>
        </row>
        <row r="95">
          <cell r="B95">
            <v>4826935.8899999997</v>
          </cell>
          <cell r="M95">
            <v>4826935.8899999997</v>
          </cell>
        </row>
        <row r="96">
          <cell r="B96">
            <v>3553476.85</v>
          </cell>
          <cell r="M96">
            <v>3553476.85</v>
          </cell>
        </row>
        <row r="97">
          <cell r="B97">
            <v>82068926.450000018</v>
          </cell>
          <cell r="C97">
            <v>1229216.3799999999</v>
          </cell>
          <cell r="D97">
            <v>1730597.39</v>
          </cell>
          <cell r="E97">
            <v>865196.04</v>
          </cell>
          <cell r="F97">
            <v>931897</v>
          </cell>
          <cell r="G97">
            <v>689930.28</v>
          </cell>
          <cell r="H97">
            <v>761234.88</v>
          </cell>
          <cell r="I97">
            <v>1058063.78</v>
          </cell>
          <cell r="J97">
            <v>1544275.52</v>
          </cell>
          <cell r="K97">
            <v>1004964.46</v>
          </cell>
          <cell r="L97">
            <v>735725.83</v>
          </cell>
          <cell r="M97">
            <v>92620028.010000005</v>
          </cell>
        </row>
        <row r="98">
          <cell r="B98">
            <v>473437.65</v>
          </cell>
          <cell r="M98">
            <v>473437.65</v>
          </cell>
        </row>
        <row r="99">
          <cell r="B99">
            <v>3084383.87</v>
          </cell>
          <cell r="C99">
            <v>2283.1999999999998</v>
          </cell>
          <cell r="D99">
            <v>11252.98</v>
          </cell>
          <cell r="E99">
            <v>37804.26</v>
          </cell>
          <cell r="F99">
            <v>0</v>
          </cell>
          <cell r="G99">
            <v>0</v>
          </cell>
          <cell r="H99">
            <v>499.91</v>
          </cell>
          <cell r="I99">
            <v>0</v>
          </cell>
          <cell r="J99">
            <v>100236.19</v>
          </cell>
          <cell r="K99">
            <v>7404.29</v>
          </cell>
          <cell r="L99">
            <v>21535.47</v>
          </cell>
          <cell r="M99">
            <v>3265400.17</v>
          </cell>
        </row>
        <row r="100">
          <cell r="B100">
            <v>703347.05</v>
          </cell>
          <cell r="M100">
            <v>703347.05</v>
          </cell>
        </row>
        <row r="101">
          <cell r="B101">
            <v>228.2</v>
          </cell>
          <cell r="M101">
            <v>228.2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B103">
            <v>179177.98</v>
          </cell>
          <cell r="C103">
            <v>0</v>
          </cell>
          <cell r="D103">
            <v>301.83999999999997</v>
          </cell>
          <cell r="E103">
            <v>814.21</v>
          </cell>
          <cell r="M103">
            <v>180294.03</v>
          </cell>
        </row>
        <row r="104">
          <cell r="B104">
            <v>71400.88</v>
          </cell>
          <cell r="D104">
            <v>42877.47</v>
          </cell>
          <cell r="F104">
            <v>13495.57</v>
          </cell>
          <cell r="G104">
            <v>3994.36</v>
          </cell>
          <cell r="H104">
            <v>4770.99</v>
          </cell>
          <cell r="J104">
            <v>33990.720000000001</v>
          </cell>
          <cell r="K104">
            <v>4651.7700000000004</v>
          </cell>
          <cell r="L104">
            <v>10718.61</v>
          </cell>
          <cell r="M104">
            <v>185900.37</v>
          </cell>
        </row>
        <row r="105">
          <cell r="B105">
            <v>9749.36</v>
          </cell>
          <cell r="M105">
            <v>9749.36</v>
          </cell>
        </row>
        <row r="106">
          <cell r="B106">
            <v>513970.59</v>
          </cell>
          <cell r="M106">
            <v>513970.59</v>
          </cell>
        </row>
        <row r="107">
          <cell r="B107">
            <v>17556.810000000001</v>
          </cell>
          <cell r="M107">
            <v>17556.810000000001</v>
          </cell>
        </row>
        <row r="108">
          <cell r="B108">
            <v>2114732.21</v>
          </cell>
          <cell r="J108">
            <v>229500.97</v>
          </cell>
          <cell r="M108">
            <v>2344233.1800000002</v>
          </cell>
        </row>
        <row r="109">
          <cell r="B109">
            <v>19944.22</v>
          </cell>
          <cell r="D109">
            <v>1553.74</v>
          </cell>
          <cell r="F109">
            <v>0</v>
          </cell>
          <cell r="H109">
            <v>118.99</v>
          </cell>
          <cell r="K109">
            <v>0</v>
          </cell>
          <cell r="L109">
            <v>345.95</v>
          </cell>
          <cell r="M109">
            <v>21962.9</v>
          </cell>
        </row>
        <row r="110">
          <cell r="B110">
            <v>473.59</v>
          </cell>
          <cell r="G110">
            <v>6986.54</v>
          </cell>
          <cell r="M110">
            <v>7460.13</v>
          </cell>
        </row>
        <row r="111">
          <cell r="B111">
            <v>-142362.18</v>
          </cell>
          <cell r="F111">
            <v>0</v>
          </cell>
          <cell r="M111">
            <v>-142362.18</v>
          </cell>
        </row>
        <row r="112">
          <cell r="B112">
            <v>9700952.5999999996</v>
          </cell>
          <cell r="C112">
            <v>4005.13</v>
          </cell>
          <cell r="D112">
            <v>69465.820000000007</v>
          </cell>
          <cell r="E112">
            <v>13554.23</v>
          </cell>
          <cell r="F112">
            <v>35719</v>
          </cell>
          <cell r="G112">
            <v>261.24</v>
          </cell>
          <cell r="H112">
            <v>34.07</v>
          </cell>
          <cell r="I112">
            <v>47048</v>
          </cell>
          <cell r="J112">
            <v>23157.02</v>
          </cell>
          <cell r="K112">
            <v>1608.54</v>
          </cell>
          <cell r="L112">
            <v>3018.35</v>
          </cell>
          <cell r="M112">
            <v>9898824</v>
          </cell>
        </row>
        <row r="113">
          <cell r="B113">
            <v>16057304.49</v>
          </cell>
          <cell r="M113">
            <v>16057304.49</v>
          </cell>
        </row>
        <row r="114">
          <cell r="B114">
            <v>7513201.1800000006</v>
          </cell>
          <cell r="M114">
            <v>7513201.1800000006</v>
          </cell>
        </row>
        <row r="115">
          <cell r="B115">
            <v>1545654.72</v>
          </cell>
          <cell r="G115">
            <v>0</v>
          </cell>
          <cell r="M115">
            <v>1545654.72</v>
          </cell>
        </row>
        <row r="116">
          <cell r="B116">
            <v>126634.02</v>
          </cell>
          <cell r="D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M116">
            <v>126634.02</v>
          </cell>
        </row>
        <row r="117">
          <cell r="B117">
            <v>12017747.449999999</v>
          </cell>
          <cell r="M117">
            <v>12017747.449999999</v>
          </cell>
        </row>
        <row r="118">
          <cell r="B118">
            <v>186083053.15000007</v>
          </cell>
          <cell r="C118">
            <v>9022755.4000000004</v>
          </cell>
          <cell r="D118">
            <v>13733800.720000001</v>
          </cell>
          <cell r="E118">
            <v>5253316.87</v>
          </cell>
          <cell r="F118">
            <v>9863364.4199999981</v>
          </cell>
          <cell r="G118">
            <v>9949621.3499999996</v>
          </cell>
          <cell r="H118">
            <v>8525620.2000000011</v>
          </cell>
          <cell r="I118">
            <v>3663581.4</v>
          </cell>
          <cell r="J118">
            <v>22608664.649999999</v>
          </cell>
          <cell r="K118">
            <v>18530292.540000003</v>
          </cell>
          <cell r="L118">
            <v>2492937.04</v>
          </cell>
          <cell r="M118">
            <v>289727007.74000007</v>
          </cell>
        </row>
        <row r="119">
          <cell r="B119">
            <v>2911190.32</v>
          </cell>
          <cell r="M119">
            <v>2911190.32</v>
          </cell>
        </row>
        <row r="120">
          <cell r="B120">
            <v>41606.879999999997</v>
          </cell>
          <cell r="M120">
            <v>41606.879999999997</v>
          </cell>
        </row>
        <row r="121">
          <cell r="B121">
            <v>19345681.579999998</v>
          </cell>
          <cell r="M121">
            <v>19345681.579999998</v>
          </cell>
        </row>
        <row r="122">
          <cell r="C122">
            <v>207874.02</v>
          </cell>
          <cell r="D122">
            <v>223115.87</v>
          </cell>
          <cell r="E122">
            <v>94297.3</v>
          </cell>
          <cell r="F122">
            <v>139843.03</v>
          </cell>
          <cell r="G122">
            <v>353965.55</v>
          </cell>
          <cell r="H122">
            <v>128666.19</v>
          </cell>
          <cell r="I122">
            <v>81801.06</v>
          </cell>
          <cell r="J122">
            <v>147774</v>
          </cell>
          <cell r="K122">
            <v>65475.42</v>
          </cell>
          <cell r="L122">
            <v>82461.53</v>
          </cell>
          <cell r="M122">
            <v>1525273.97</v>
          </cell>
        </row>
        <row r="123">
          <cell r="B123">
            <v>19070693.379999999</v>
          </cell>
          <cell r="C123">
            <v>7398034.419999999</v>
          </cell>
          <cell r="D123">
            <v>22262352.82</v>
          </cell>
          <cell r="E123">
            <v>8331001.1999999993</v>
          </cell>
          <cell r="F123">
            <v>6040792.0499999998</v>
          </cell>
          <cell r="G123">
            <v>97747938.929999977</v>
          </cell>
          <cell r="H123">
            <v>10960689.109999999</v>
          </cell>
          <cell r="I123">
            <v>6293402.9199999999</v>
          </cell>
          <cell r="J123">
            <v>18395753.789999999</v>
          </cell>
          <cell r="K123">
            <v>7531547.290000001</v>
          </cell>
          <cell r="L123">
            <v>8734320.9600000009</v>
          </cell>
          <cell r="M123">
            <v>212766526.86999995</v>
          </cell>
        </row>
        <row r="124">
          <cell r="B124">
            <v>361006.75</v>
          </cell>
          <cell r="J124">
            <v>0</v>
          </cell>
          <cell r="M124">
            <v>361006.75</v>
          </cell>
        </row>
        <row r="125">
          <cell r="B125">
            <v>-224620068.70000008</v>
          </cell>
          <cell r="C125">
            <v>-14596671.469999999</v>
          </cell>
          <cell r="D125">
            <v>28730457.919999994</v>
          </cell>
          <cell r="E125">
            <v>56784421.599999994</v>
          </cell>
          <cell r="F125">
            <v>33462359.079999998</v>
          </cell>
          <cell r="G125">
            <v>1513841.7</v>
          </cell>
          <cell r="H125">
            <v>-1170448.05</v>
          </cell>
          <cell r="I125">
            <v>29644891.869999997</v>
          </cell>
          <cell r="J125">
            <v>24327793.600000005</v>
          </cell>
          <cell r="K125">
            <v>25425233.080000009</v>
          </cell>
          <cell r="L125">
            <v>10888150.119999999</v>
          </cell>
          <cell r="M125">
            <v>-29610039.250000082</v>
          </cell>
        </row>
        <row r="126">
          <cell r="B126">
            <v>-103611525.59</v>
          </cell>
          <cell r="C126">
            <v>2621435.31</v>
          </cell>
          <cell r="D126">
            <v>33662153.949999996</v>
          </cell>
          <cell r="E126">
            <v>897429.74</v>
          </cell>
          <cell r="F126">
            <v>1683310.95</v>
          </cell>
          <cell r="G126">
            <v>0</v>
          </cell>
          <cell r="H126">
            <v>5124685.43</v>
          </cell>
          <cell r="I126">
            <v>95523253.36999999</v>
          </cell>
          <cell r="J126">
            <v>9493034.9299999997</v>
          </cell>
          <cell r="K126">
            <v>-6695367.79</v>
          </cell>
          <cell r="L126">
            <v>-213654.87</v>
          </cell>
          <cell r="M126">
            <v>38484755.429999985</v>
          </cell>
        </row>
        <row r="127">
          <cell r="B127">
            <v>24797.54</v>
          </cell>
          <cell r="C127">
            <v>10547.74</v>
          </cell>
          <cell r="G127">
            <v>1355.72</v>
          </cell>
          <cell r="I127">
            <v>74125.55</v>
          </cell>
          <cell r="J127">
            <v>14072.75</v>
          </cell>
          <cell r="M127">
            <v>124899.3</v>
          </cell>
        </row>
        <row r="128">
          <cell r="B128">
            <v>314004</v>
          </cell>
          <cell r="C128">
            <v>1493.5799999999581</v>
          </cell>
          <cell r="D128">
            <v>15869.92000000006</v>
          </cell>
          <cell r="E128">
            <v>-198.38000000000466</v>
          </cell>
          <cell r="F128">
            <v>-4408.0799999999927</v>
          </cell>
          <cell r="G128">
            <v>405423.86</v>
          </cell>
          <cell r="H128">
            <v>-194170.8</v>
          </cell>
          <cell r="I128">
            <v>3759.67</v>
          </cell>
          <cell r="J128">
            <v>161663.57</v>
          </cell>
          <cell r="K128">
            <v>-483252.52</v>
          </cell>
          <cell r="L128">
            <v>74285.08</v>
          </cell>
          <cell r="M128">
            <v>294469.90000000002</v>
          </cell>
        </row>
        <row r="129">
          <cell r="B129">
            <v>0</v>
          </cell>
          <cell r="C129">
            <v>0</v>
          </cell>
          <cell r="D129">
            <v>0</v>
          </cell>
          <cell r="E129">
            <v>435.23</v>
          </cell>
          <cell r="F129">
            <v>353191.47</v>
          </cell>
          <cell r="G129">
            <v>0</v>
          </cell>
          <cell r="H129">
            <v>0</v>
          </cell>
          <cell r="I129">
            <v>0</v>
          </cell>
          <cell r="J129">
            <v>-0.22</v>
          </cell>
          <cell r="L129">
            <v>0</v>
          </cell>
          <cell r="M129">
            <v>353626.48</v>
          </cell>
        </row>
        <row r="130">
          <cell r="B130">
            <v>0</v>
          </cell>
          <cell r="M130">
            <v>0</v>
          </cell>
        </row>
        <row r="131"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-578807.71</v>
          </cell>
          <cell r="L131">
            <v>0</v>
          </cell>
          <cell r="M131">
            <v>-578807.71</v>
          </cell>
        </row>
        <row r="132">
          <cell r="B132">
            <v>10547259.17</v>
          </cell>
          <cell r="M132">
            <v>10547259.17</v>
          </cell>
        </row>
        <row r="133">
          <cell r="C133">
            <v>28188.49</v>
          </cell>
          <cell r="M133">
            <v>28188.49</v>
          </cell>
        </row>
        <row r="134">
          <cell r="B134">
            <v>-6249.86</v>
          </cell>
          <cell r="M134">
            <v>-6249.86</v>
          </cell>
        </row>
        <row r="135">
          <cell r="B135">
            <v>-51553985.109999999</v>
          </cell>
          <cell r="C135">
            <v>-10627201.779999999</v>
          </cell>
          <cell r="D135">
            <v>-13522271.589999998</v>
          </cell>
          <cell r="E135">
            <v>-15357910.949999999</v>
          </cell>
          <cell r="F135">
            <v>-10901881.58</v>
          </cell>
          <cell r="G135">
            <v>-39305838.820000008</v>
          </cell>
          <cell r="H135">
            <v>-13426652.409999998</v>
          </cell>
          <cell r="I135">
            <v>-8521338.4799999986</v>
          </cell>
          <cell r="J135">
            <v>-15074560.540000001</v>
          </cell>
          <cell r="K135">
            <v>-11036139.299999999</v>
          </cell>
          <cell r="L135">
            <v>-7831445.8899999997</v>
          </cell>
          <cell r="M135">
            <v>-197159226.44999999</v>
          </cell>
        </row>
        <row r="136">
          <cell r="B136">
            <v>-2982559.24</v>
          </cell>
          <cell r="M136">
            <v>-2982559.24</v>
          </cell>
        </row>
        <row r="137">
          <cell r="B137">
            <v>-27520749.98</v>
          </cell>
          <cell r="M137">
            <v>-27520749.98</v>
          </cell>
        </row>
        <row r="138">
          <cell r="B138">
            <v>0</v>
          </cell>
          <cell r="M138">
            <v>0</v>
          </cell>
        </row>
        <row r="139">
          <cell r="B139">
            <v>-77266.789999999994</v>
          </cell>
          <cell r="M139">
            <v>-77266.789999999994</v>
          </cell>
        </row>
        <row r="140">
          <cell r="B140">
            <v>-37747.99</v>
          </cell>
          <cell r="M140">
            <v>-37747.99</v>
          </cell>
        </row>
        <row r="141">
          <cell r="B141">
            <v>-35447.93</v>
          </cell>
          <cell r="M141">
            <v>-35447.93</v>
          </cell>
        </row>
        <row r="142">
          <cell r="B142">
            <v>-49098069.729999997</v>
          </cell>
          <cell r="M142">
            <v>-49098069.729999997</v>
          </cell>
        </row>
        <row r="143">
          <cell r="B143">
            <v>-850317800.50999999</v>
          </cell>
          <cell r="M143">
            <v>-850317800.50999999</v>
          </cell>
        </row>
        <row r="144">
          <cell r="B144">
            <v>-33338747.579999998</v>
          </cell>
          <cell r="M144">
            <v>-33338747.579999998</v>
          </cell>
        </row>
        <row r="145">
          <cell r="B145">
            <v>-5313615228.9399996</v>
          </cell>
          <cell r="C145">
            <v>-126240659.11</v>
          </cell>
          <cell r="D145">
            <v>-261254478.86000001</v>
          </cell>
          <cell r="E145">
            <v>-32232285.190000001</v>
          </cell>
          <cell r="F145">
            <v>-177870778.38999999</v>
          </cell>
          <cell r="I145">
            <v>-460149975.80000001</v>
          </cell>
          <cell r="J145">
            <v>-866460111.90999997</v>
          </cell>
          <cell r="K145">
            <v>-107004630.66</v>
          </cell>
          <cell r="L145">
            <v>-13963394.710000001</v>
          </cell>
          <cell r="M145">
            <v>-7358791543.5699987</v>
          </cell>
        </row>
        <row r="146">
          <cell r="B146">
            <v>42280032.489999995</v>
          </cell>
          <cell r="C146">
            <v>1196771.47</v>
          </cell>
          <cell r="D146">
            <v>2226634.0699999998</v>
          </cell>
          <cell r="E146">
            <v>295524.15000000002</v>
          </cell>
          <cell r="F146">
            <v>1635929.15</v>
          </cell>
          <cell r="I146">
            <v>3646557.07</v>
          </cell>
          <cell r="J146">
            <v>7583012.1300000008</v>
          </cell>
          <cell r="K146">
            <v>901959.48</v>
          </cell>
          <cell r="L146">
            <v>124721.67</v>
          </cell>
          <cell r="M146">
            <v>59891141.679999992</v>
          </cell>
        </row>
        <row r="147">
          <cell r="B147">
            <v>-28391083.43</v>
          </cell>
          <cell r="J147">
            <v>-14562149.76</v>
          </cell>
          <cell r="M147">
            <v>-42953233.189999998</v>
          </cell>
        </row>
        <row r="148">
          <cell r="B148">
            <v>11423987.449999999</v>
          </cell>
          <cell r="J148">
            <v>2757496.73</v>
          </cell>
          <cell r="M148">
            <v>14181484.18</v>
          </cell>
        </row>
        <row r="149">
          <cell r="B149">
            <v>-1317774755.3800001</v>
          </cell>
          <cell r="M149">
            <v>-1317774755.3800001</v>
          </cell>
        </row>
        <row r="150">
          <cell r="B150">
            <v>-11979744.83</v>
          </cell>
          <cell r="M150">
            <v>-11979744.83</v>
          </cell>
        </row>
        <row r="151">
          <cell r="B151">
            <v>9751539.4800000004</v>
          </cell>
          <cell r="M151">
            <v>9751539.4800000004</v>
          </cell>
        </row>
        <row r="152">
          <cell r="B152">
            <v>88650.17</v>
          </cell>
          <cell r="M152">
            <v>88650.17</v>
          </cell>
        </row>
        <row r="153">
          <cell r="B153">
            <v>-3668008504.5</v>
          </cell>
          <cell r="M153">
            <v>-3668008504.5</v>
          </cell>
        </row>
        <row r="154">
          <cell r="B154">
            <v>-5725762895.1000004</v>
          </cell>
          <cell r="M154">
            <v>-5725762895.1000004</v>
          </cell>
        </row>
        <row r="155">
          <cell r="B155">
            <v>-9360.92</v>
          </cell>
          <cell r="M155">
            <v>-9360.92</v>
          </cell>
        </row>
        <row r="156">
          <cell r="B156">
            <v>-534398605.92000002</v>
          </cell>
          <cell r="M156">
            <v>-534398605.92000002</v>
          </cell>
        </row>
        <row r="157">
          <cell r="B157">
            <v>-5407507642.8799992</v>
          </cell>
          <cell r="C157">
            <v>-47976283.090000004</v>
          </cell>
          <cell r="D157">
            <v>-78308279.560000002</v>
          </cell>
          <cell r="E157">
            <v>-59546768.649999999</v>
          </cell>
          <cell r="F157">
            <v>-52387009.950000003</v>
          </cell>
          <cell r="I157">
            <v>-535739585.05000001</v>
          </cell>
          <cell r="J157">
            <v>-302835138.29999995</v>
          </cell>
          <cell r="L157">
            <v>-15960755.82</v>
          </cell>
          <cell r="M157">
            <v>-6500261463.2999992</v>
          </cell>
        </row>
        <row r="158">
          <cell r="B158">
            <v>97563269.099999994</v>
          </cell>
          <cell r="C158">
            <v>410322.51</v>
          </cell>
          <cell r="D158">
            <v>699031.5</v>
          </cell>
          <cell r="E158">
            <v>520832.26</v>
          </cell>
          <cell r="F158">
            <v>387663.87</v>
          </cell>
          <cell r="I158">
            <v>3898297.24</v>
          </cell>
          <cell r="J158">
            <v>2544074.4500000002</v>
          </cell>
          <cell r="L158">
            <v>1600946.6</v>
          </cell>
          <cell r="M158">
            <v>107624437.53</v>
          </cell>
        </row>
        <row r="159">
          <cell r="B159">
            <v>-58136355.219999999</v>
          </cell>
          <cell r="M159">
            <v>-58136355.219999999</v>
          </cell>
        </row>
        <row r="160">
          <cell r="B160">
            <v>213819.78</v>
          </cell>
          <cell r="M160">
            <v>213819.78</v>
          </cell>
        </row>
        <row r="161">
          <cell r="D161">
            <v>-35693608.990000002</v>
          </cell>
          <cell r="E161">
            <v>-11092941.4</v>
          </cell>
          <cell r="F161">
            <v>-18000263.789999999</v>
          </cell>
          <cell r="G161">
            <v>-94171233.74000001</v>
          </cell>
          <cell r="H161">
            <v>-6741425.4499999993</v>
          </cell>
          <cell r="I161">
            <v>-12203039.529999999</v>
          </cell>
          <cell r="J161">
            <v>-5437256.46</v>
          </cell>
          <cell r="L161">
            <v>-990153.3</v>
          </cell>
          <cell r="M161">
            <v>-184329922.66000003</v>
          </cell>
        </row>
        <row r="162">
          <cell r="B162">
            <v>-170498640.31</v>
          </cell>
          <cell r="C162">
            <v>-132827361</v>
          </cell>
          <cell r="D162">
            <v>-99399815.00999999</v>
          </cell>
          <cell r="E162">
            <v>-216765244.87000003</v>
          </cell>
          <cell r="F162">
            <v>-53144404.409999996</v>
          </cell>
          <cell r="G162">
            <v>-15368827.150000002</v>
          </cell>
          <cell r="H162">
            <v>-86315705.969999999</v>
          </cell>
          <cell r="I162">
            <v>-30685580.250000004</v>
          </cell>
          <cell r="J162">
            <v>-96418893</v>
          </cell>
          <cell r="K162">
            <v>-66632411.969999991</v>
          </cell>
          <cell r="M162">
            <v>-968056883.94000006</v>
          </cell>
        </row>
        <row r="163">
          <cell r="B163">
            <v>1063681.4099999999</v>
          </cell>
          <cell r="C163">
            <v>1290895.92</v>
          </cell>
          <cell r="D163">
            <v>923724.5</v>
          </cell>
          <cell r="E163">
            <v>1924436.28</v>
          </cell>
          <cell r="F163">
            <v>505075.37</v>
          </cell>
          <cell r="G163">
            <v>153885.62</v>
          </cell>
          <cell r="H163">
            <v>834165.69</v>
          </cell>
          <cell r="I163">
            <v>275275.71999999997</v>
          </cell>
          <cell r="J163">
            <v>1984888.92</v>
          </cell>
          <cell r="K163">
            <v>576917.25</v>
          </cell>
          <cell r="M163">
            <v>9532946.6799999997</v>
          </cell>
        </row>
        <row r="164">
          <cell r="D164">
            <v>358239.88</v>
          </cell>
          <cell r="E164">
            <v>110929.75</v>
          </cell>
          <cell r="F164">
            <v>180003</v>
          </cell>
          <cell r="G164">
            <v>942151.95</v>
          </cell>
          <cell r="H164">
            <v>50385.32</v>
          </cell>
          <cell r="I164">
            <v>115634.62</v>
          </cell>
          <cell r="J164">
            <v>54372.65</v>
          </cell>
          <cell r="L164">
            <v>9901.56</v>
          </cell>
          <cell r="M164">
            <v>1821618.73</v>
          </cell>
        </row>
        <row r="165">
          <cell r="B165">
            <v>-23353941.190000001</v>
          </cell>
          <cell r="J165">
            <v>-1283664.05</v>
          </cell>
          <cell r="M165">
            <v>-24637605.240000002</v>
          </cell>
        </row>
        <row r="166">
          <cell r="B166">
            <v>172818.75</v>
          </cell>
          <cell r="J166">
            <v>9499.2000000000007</v>
          </cell>
          <cell r="M166">
            <v>182317.95</v>
          </cell>
        </row>
        <row r="167">
          <cell r="B167">
            <v>-655738203.80999994</v>
          </cell>
          <cell r="M167">
            <v>-655738203.80999994</v>
          </cell>
        </row>
        <row r="168">
          <cell r="B168">
            <v>-51943617.07</v>
          </cell>
          <cell r="M168">
            <v>-51943617.07</v>
          </cell>
        </row>
        <row r="169">
          <cell r="B169">
            <v>-294175782.89999998</v>
          </cell>
          <cell r="C169">
            <v>-755199.35</v>
          </cell>
          <cell r="D169">
            <v>-12081970.310000001</v>
          </cell>
          <cell r="E169">
            <v>-14406844.84</v>
          </cell>
          <cell r="F169">
            <v>-1633963.34</v>
          </cell>
          <cell r="J169">
            <v>-19925439.699999999</v>
          </cell>
          <cell r="K169">
            <v>-616339.61</v>
          </cell>
          <cell r="L169">
            <v>-18322290.289999999</v>
          </cell>
          <cell r="M169">
            <v>-361917830.33999997</v>
          </cell>
        </row>
        <row r="170">
          <cell r="B170">
            <v>16085050.379999999</v>
          </cell>
          <cell r="C170">
            <v>5310.55</v>
          </cell>
          <cell r="D170">
            <v>3433661.63</v>
          </cell>
          <cell r="E170">
            <v>106610.66</v>
          </cell>
          <cell r="F170">
            <v>11140.95</v>
          </cell>
          <cell r="J170">
            <v>2444406.2400000002</v>
          </cell>
          <cell r="K170">
            <v>4683.8900000000003</v>
          </cell>
          <cell r="M170">
            <v>22090864.299999997</v>
          </cell>
        </row>
        <row r="171">
          <cell r="B171">
            <v>-514015.77</v>
          </cell>
          <cell r="M171">
            <v>-514015.77</v>
          </cell>
        </row>
        <row r="172">
          <cell r="B172">
            <v>3803.71</v>
          </cell>
          <cell r="M172">
            <v>3803.71</v>
          </cell>
        </row>
        <row r="173">
          <cell r="C173">
            <v>-123507602.59999999</v>
          </cell>
          <cell r="D173">
            <v>-60844848.530000001</v>
          </cell>
          <cell r="E173">
            <v>-25033730.020000003</v>
          </cell>
          <cell r="F173">
            <v>-106206741.17999999</v>
          </cell>
          <cell r="G173">
            <v>-134263891.94</v>
          </cell>
          <cell r="H173">
            <v>-33823271.689999998</v>
          </cell>
          <cell r="I173">
            <v>-34737799.509999998</v>
          </cell>
          <cell r="J173">
            <v>-355869847.74000001</v>
          </cell>
          <cell r="K173">
            <v>-136180344.12</v>
          </cell>
          <cell r="L173">
            <v>-9867547.1799999997</v>
          </cell>
          <cell r="M173">
            <v>-1020335624.51</v>
          </cell>
        </row>
        <row r="174">
          <cell r="B174">
            <v>-480326.91</v>
          </cell>
          <cell r="C174">
            <v>-1518988.67</v>
          </cell>
          <cell r="D174">
            <v>-12907259.549999999</v>
          </cell>
          <cell r="E174">
            <v>-2485104.19</v>
          </cell>
          <cell r="F174">
            <v>-1161538.57</v>
          </cell>
          <cell r="G174">
            <v>-7615186.8800000008</v>
          </cell>
          <cell r="H174">
            <v>-1145066.06</v>
          </cell>
          <cell r="I174">
            <v>-9558274.0999999996</v>
          </cell>
          <cell r="J174">
            <v>-21416016.559999999</v>
          </cell>
          <cell r="K174">
            <v>-11416063.140000001</v>
          </cell>
          <cell r="L174">
            <v>-1122414.43</v>
          </cell>
          <cell r="M174">
            <v>-70826239.060000002</v>
          </cell>
        </row>
        <row r="175">
          <cell r="B175">
            <v>480326.91</v>
          </cell>
          <cell r="C175">
            <v>3116.44</v>
          </cell>
          <cell r="D175">
            <v>308032.78000000003</v>
          </cell>
          <cell r="E175">
            <v>189196.72</v>
          </cell>
          <cell r="F175">
            <v>94983.46</v>
          </cell>
          <cell r="G175">
            <v>1050805.8700000001</v>
          </cell>
          <cell r="H175">
            <v>77192.23</v>
          </cell>
          <cell r="I175">
            <v>4206183.0199999996</v>
          </cell>
          <cell r="J175">
            <v>816962.75</v>
          </cell>
          <cell r="K175">
            <v>102555.72</v>
          </cell>
          <cell r="L175">
            <v>336.36</v>
          </cell>
          <cell r="M175">
            <v>7329692.2599999998</v>
          </cell>
        </row>
        <row r="176">
          <cell r="C176">
            <v>6999609.2300000004</v>
          </cell>
          <cell r="D176">
            <v>4192725.49</v>
          </cell>
          <cell r="E176">
            <v>152948.70000000001</v>
          </cell>
          <cell r="F176">
            <v>1648745.09</v>
          </cell>
          <cell r="G176">
            <v>9186392.8000000007</v>
          </cell>
          <cell r="H176">
            <v>1148593.45</v>
          </cell>
          <cell r="I176">
            <v>3218316.34</v>
          </cell>
          <cell r="J176">
            <v>95684656.390000001</v>
          </cell>
          <cell r="K176">
            <v>7084218.8100000005</v>
          </cell>
          <cell r="L176">
            <v>52415.07</v>
          </cell>
          <cell r="M176">
            <v>129368621.37</v>
          </cell>
        </row>
        <row r="177">
          <cell r="B177">
            <v>-101050.95</v>
          </cell>
          <cell r="C177">
            <v>-4036.47</v>
          </cell>
          <cell r="D177">
            <v>-2735.42</v>
          </cell>
          <cell r="E177">
            <v>-272.22000000000003</v>
          </cell>
          <cell r="F177">
            <v>-8593.4</v>
          </cell>
          <cell r="G177">
            <v>-1687.91</v>
          </cell>
          <cell r="H177">
            <v>-8171.2</v>
          </cell>
          <cell r="I177">
            <v>-28515.13</v>
          </cell>
          <cell r="J177">
            <v>-31086.98</v>
          </cell>
          <cell r="K177">
            <v>-1997.58</v>
          </cell>
          <cell r="L177">
            <v>-513.01</v>
          </cell>
          <cell r="M177">
            <v>-188660.27</v>
          </cell>
        </row>
        <row r="178">
          <cell r="B178">
            <v>747.78</v>
          </cell>
          <cell r="C178">
            <v>2410.98</v>
          </cell>
          <cell r="D178">
            <v>2314.86</v>
          </cell>
          <cell r="E178">
            <v>153.30000000000001</v>
          </cell>
          <cell r="F178">
            <v>7338.22</v>
          </cell>
          <cell r="G178">
            <v>1562.74</v>
          </cell>
          <cell r="H178">
            <v>7078.46</v>
          </cell>
          <cell r="I178">
            <v>22964.34</v>
          </cell>
          <cell r="J178">
            <v>22670.14</v>
          </cell>
          <cell r="K178">
            <v>466.52</v>
          </cell>
          <cell r="L178">
            <v>506.9</v>
          </cell>
          <cell r="M178">
            <v>68214.240000000005</v>
          </cell>
        </row>
        <row r="179">
          <cell r="B179">
            <v>-16855952399.890001</v>
          </cell>
          <cell r="C179">
            <v>-908395505.29999995</v>
          </cell>
          <cell r="D179">
            <v>-775357177.83000004</v>
          </cell>
          <cell r="E179">
            <v>-324422051.50999999</v>
          </cell>
          <cell r="F179">
            <v>-287975903.03000003</v>
          </cell>
          <cell r="G179">
            <v>-706985.3</v>
          </cell>
          <cell r="H179">
            <v>-62500</v>
          </cell>
          <cell r="I179">
            <v>-2212383097.4899998</v>
          </cell>
          <cell r="J179">
            <v>-1189927083.95</v>
          </cell>
          <cell r="K179">
            <v>-178332332.13</v>
          </cell>
          <cell r="L179">
            <v>-72321676.299999997</v>
          </cell>
          <cell r="M179">
            <v>-22805836712.73</v>
          </cell>
        </row>
        <row r="180">
          <cell r="B180">
            <v>1124990369.6299999</v>
          </cell>
          <cell r="C180">
            <v>35907800.009999998</v>
          </cell>
          <cell r="D180">
            <v>399653179.70999998</v>
          </cell>
          <cell r="E180">
            <v>2416383.65</v>
          </cell>
          <cell r="F180">
            <v>15115852.199999999</v>
          </cell>
          <cell r="G180">
            <v>5471.1</v>
          </cell>
          <cell r="H180">
            <v>2421.3200000000002</v>
          </cell>
          <cell r="I180">
            <v>33017792.09</v>
          </cell>
          <cell r="J180">
            <v>173394094.07999998</v>
          </cell>
          <cell r="K180">
            <v>96391113.540000007</v>
          </cell>
          <cell r="L180">
            <v>10595803.25</v>
          </cell>
          <cell r="M180">
            <v>1891490280.5799997</v>
          </cell>
        </row>
        <row r="181">
          <cell r="B181">
            <v>-3676470.59</v>
          </cell>
          <cell r="M181">
            <v>-3676470.59</v>
          </cell>
        </row>
        <row r="182">
          <cell r="D182">
            <v>-321139.71000000002</v>
          </cell>
          <cell r="F182">
            <v>-3375000</v>
          </cell>
          <cell r="M182">
            <v>-3696139.71</v>
          </cell>
        </row>
        <row r="183">
          <cell r="D183">
            <v>2376.4299999999998</v>
          </cell>
          <cell r="F183">
            <v>24975</v>
          </cell>
          <cell r="M183">
            <v>27351.43</v>
          </cell>
        </row>
        <row r="184">
          <cell r="B184">
            <v>-44466827.539999999</v>
          </cell>
          <cell r="M184">
            <v>-44466827.539999999</v>
          </cell>
        </row>
        <row r="185">
          <cell r="B185">
            <v>44466827.539999999</v>
          </cell>
          <cell r="M185">
            <v>44466827.539999999</v>
          </cell>
        </row>
        <row r="186">
          <cell r="B186">
            <v>-2030.11</v>
          </cell>
          <cell r="C186">
            <v>-17751123.870000001</v>
          </cell>
          <cell r="D186">
            <v>-61507895.980000004</v>
          </cell>
          <cell r="E186">
            <v>-25903720.899999995</v>
          </cell>
          <cell r="F186">
            <v>-29412904.900000002</v>
          </cell>
          <cell r="G186">
            <v>-681811349.51999986</v>
          </cell>
          <cell r="H186">
            <v>-19092317.539999999</v>
          </cell>
          <cell r="I186">
            <v>-8553724.3699999992</v>
          </cell>
          <cell r="J186">
            <v>-135388077.58000001</v>
          </cell>
          <cell r="K186">
            <v>-17937192.329999998</v>
          </cell>
          <cell r="L186">
            <v>-10437809.129999999</v>
          </cell>
          <cell r="M186">
            <v>-1007798146.2299999</v>
          </cell>
        </row>
        <row r="187">
          <cell r="B187">
            <v>-34717843.730000004</v>
          </cell>
          <cell r="C187">
            <v>-53058442.899999999</v>
          </cell>
          <cell r="D187">
            <v>-111602652.06999999</v>
          </cell>
          <cell r="E187">
            <v>-119986343.34</v>
          </cell>
          <cell r="F187">
            <v>-57577333.759999998</v>
          </cell>
          <cell r="G187">
            <v>-3156262.88</v>
          </cell>
          <cell r="H187">
            <v>-13762628.439999999</v>
          </cell>
          <cell r="I187">
            <v>-49074823.730000004</v>
          </cell>
          <cell r="J187">
            <v>-68711757.599999994</v>
          </cell>
          <cell r="K187">
            <v>-142768713.12</v>
          </cell>
          <cell r="L187">
            <v>-915441.18</v>
          </cell>
          <cell r="M187">
            <v>-655332242.74999988</v>
          </cell>
        </row>
        <row r="188">
          <cell r="B188">
            <v>16428292.43</v>
          </cell>
          <cell r="C188">
            <v>499971.77</v>
          </cell>
          <cell r="D188">
            <v>18194744.289999995</v>
          </cell>
          <cell r="E188">
            <v>875050.24</v>
          </cell>
          <cell r="F188">
            <v>401710.23</v>
          </cell>
          <cell r="G188">
            <v>339224.27</v>
          </cell>
          <cell r="H188">
            <v>103854.51</v>
          </cell>
          <cell r="I188">
            <v>3817157.73</v>
          </cell>
          <cell r="J188">
            <v>16858312.27</v>
          </cell>
          <cell r="K188">
            <v>23375396.510000002</v>
          </cell>
          <cell r="L188">
            <v>6774.26</v>
          </cell>
          <cell r="M188">
            <v>80900488.510000005</v>
          </cell>
        </row>
        <row r="189">
          <cell r="C189">
            <v>164104.60999999999</v>
          </cell>
          <cell r="D189">
            <v>35950399.109999999</v>
          </cell>
          <cell r="E189">
            <v>267612.74</v>
          </cell>
          <cell r="F189">
            <v>346843.17</v>
          </cell>
          <cell r="G189">
            <v>6229480.1099999994</v>
          </cell>
          <cell r="H189">
            <v>386734.31</v>
          </cell>
          <cell r="I189">
            <v>126283.36</v>
          </cell>
          <cell r="J189">
            <v>96933757.210000008</v>
          </cell>
          <cell r="K189">
            <v>113277.91</v>
          </cell>
          <cell r="L189">
            <v>701268.71</v>
          </cell>
          <cell r="M189">
            <v>141219761.24000001</v>
          </cell>
        </row>
        <row r="190">
          <cell r="B190">
            <v>-98731276.379999995</v>
          </cell>
          <cell r="F190">
            <v>-1539025.17</v>
          </cell>
          <cell r="I190">
            <v>-7590419.9900000002</v>
          </cell>
          <cell r="M190">
            <v>-107860721.53999999</v>
          </cell>
        </row>
        <row r="191">
          <cell r="B191">
            <v>695946.56</v>
          </cell>
          <cell r="F191">
            <v>11692.46</v>
          </cell>
          <cell r="I191">
            <v>99770.08</v>
          </cell>
          <cell r="M191">
            <v>807409.1</v>
          </cell>
        </row>
        <row r="192">
          <cell r="B192">
            <v>-36961699885.57</v>
          </cell>
          <cell r="M192">
            <v>-36961699885.57</v>
          </cell>
        </row>
        <row r="193">
          <cell r="B193">
            <v>-1485845588.24</v>
          </cell>
          <cell r="M193">
            <v>-1485845588.24</v>
          </cell>
        </row>
        <row r="194">
          <cell r="B194">
            <v>-90000000</v>
          </cell>
          <cell r="M194">
            <v>-90000000</v>
          </cell>
        </row>
        <row r="195">
          <cell r="B195">
            <v>-203798.06</v>
          </cell>
          <cell r="M195">
            <v>-203798.06</v>
          </cell>
        </row>
        <row r="196">
          <cell r="D196">
            <v>-64134520.599999994</v>
          </cell>
          <cell r="J196">
            <v>-15339099.359999999</v>
          </cell>
          <cell r="M196">
            <v>-79473619.959999993</v>
          </cell>
        </row>
        <row r="197">
          <cell r="B197">
            <v>-12017747.449999999</v>
          </cell>
          <cell r="M197">
            <v>-12017747.449999999</v>
          </cell>
        </row>
        <row r="198">
          <cell r="B198">
            <v>-22990896.530000001</v>
          </cell>
          <cell r="M198">
            <v>-22990896.530000001</v>
          </cell>
        </row>
        <row r="199">
          <cell r="B199">
            <v>-24969708.800000001</v>
          </cell>
          <cell r="M199">
            <v>-24969708.800000001</v>
          </cell>
        </row>
        <row r="200">
          <cell r="B200">
            <v>-18722080.879999999</v>
          </cell>
          <cell r="M200">
            <v>-18722080.879999999</v>
          </cell>
        </row>
        <row r="201">
          <cell r="B201">
            <v>-26253.62</v>
          </cell>
          <cell r="M201">
            <v>-26253.62</v>
          </cell>
        </row>
        <row r="202">
          <cell r="B202">
            <v>-56482013.780000001</v>
          </cell>
          <cell r="M202">
            <v>-56482013.780000001</v>
          </cell>
        </row>
        <row r="203">
          <cell r="B203">
            <v>-1026748269.02</v>
          </cell>
          <cell r="C203">
            <v>-10843488.84</v>
          </cell>
          <cell r="D203">
            <v>-94133097.209999993</v>
          </cell>
          <cell r="E203">
            <v>-7749668.75</v>
          </cell>
          <cell r="I203">
            <v>-502511742.54000002</v>
          </cell>
          <cell r="J203">
            <v>-47810926.350000001</v>
          </cell>
          <cell r="K203">
            <v>-162496768.60000002</v>
          </cell>
          <cell r="M203">
            <v>-1852293961.3099999</v>
          </cell>
        </row>
        <row r="204">
          <cell r="B204">
            <v>512266063.94</v>
          </cell>
          <cell r="C204">
            <v>9734944.4600000009</v>
          </cell>
          <cell r="D204">
            <v>21511925.129999999</v>
          </cell>
          <cell r="E204">
            <v>57347.55</v>
          </cell>
          <cell r="I204">
            <v>3790661.03</v>
          </cell>
          <cell r="J204">
            <v>5229800.62</v>
          </cell>
          <cell r="K204">
            <v>1246573.1200000001</v>
          </cell>
          <cell r="M204">
            <v>553837315.8499999</v>
          </cell>
        </row>
        <row r="205">
          <cell r="B205">
            <v>-1364985.33</v>
          </cell>
          <cell r="M205">
            <v>-1364985.33</v>
          </cell>
        </row>
        <row r="206">
          <cell r="B206">
            <v>164.69</v>
          </cell>
          <cell r="D206">
            <v>75908.12</v>
          </cell>
          <cell r="M206">
            <v>76072.81</v>
          </cell>
        </row>
        <row r="207">
          <cell r="C207">
            <v>-515885008.68999994</v>
          </cell>
          <cell r="D207">
            <v>-686931277.12</v>
          </cell>
          <cell r="E207">
            <v>-313871768.21999991</v>
          </cell>
          <cell r="F207">
            <v>-656749293.26999998</v>
          </cell>
          <cell r="G207">
            <v>-929978154.41999996</v>
          </cell>
          <cell r="H207">
            <v>-474817199.40999997</v>
          </cell>
          <cell r="I207">
            <v>-260809955.17000002</v>
          </cell>
          <cell r="J207">
            <v>-1901489045.0499997</v>
          </cell>
          <cell r="K207">
            <v>-445895553.92000002</v>
          </cell>
          <cell r="L207">
            <v>-275778113.95999998</v>
          </cell>
          <cell r="M207">
            <v>-6462205369.2299995</v>
          </cell>
        </row>
        <row r="208">
          <cell r="C208">
            <v>-38229332.640000001</v>
          </cell>
          <cell r="D208">
            <v>-24953386.109999999</v>
          </cell>
          <cell r="E208">
            <v>-28136614.370000001</v>
          </cell>
          <cell r="F208">
            <v>-141103057.5</v>
          </cell>
          <cell r="G208">
            <v>-17418861.73</v>
          </cell>
          <cell r="H208">
            <v>-6583569.4699999997</v>
          </cell>
          <cell r="I208">
            <v>-72309137.329999998</v>
          </cell>
          <cell r="J208">
            <v>-209092774.56</v>
          </cell>
          <cell r="K208">
            <v>-491890780.86999995</v>
          </cell>
          <cell r="L208">
            <v>-33864154.409999996</v>
          </cell>
          <cell r="M208">
            <v>-1063581668.9899999</v>
          </cell>
        </row>
        <row r="209">
          <cell r="B209">
            <v>0</v>
          </cell>
          <cell r="C209">
            <v>363482.92</v>
          </cell>
          <cell r="D209">
            <v>8086851.1100000013</v>
          </cell>
          <cell r="E209">
            <v>211610.86</v>
          </cell>
          <cell r="F209">
            <v>1380286.31</v>
          </cell>
          <cell r="G209">
            <v>242464.21</v>
          </cell>
          <cell r="H209">
            <v>50842.05</v>
          </cell>
          <cell r="I209">
            <v>20963252.899999999</v>
          </cell>
          <cell r="J209">
            <v>5817464.0300000003</v>
          </cell>
          <cell r="K209">
            <v>15418942.309999999</v>
          </cell>
          <cell r="L209">
            <v>253128.97</v>
          </cell>
          <cell r="M209">
            <v>52788325.670000002</v>
          </cell>
        </row>
        <row r="210">
          <cell r="C210">
            <v>9375205.5199999996</v>
          </cell>
          <cell r="D210">
            <v>46333754.850000001</v>
          </cell>
          <cell r="E210">
            <v>23743160.149999999</v>
          </cell>
          <cell r="F210">
            <v>22620988.689999998</v>
          </cell>
          <cell r="G210">
            <v>32502955.060000002</v>
          </cell>
          <cell r="H210">
            <v>29522982.73</v>
          </cell>
          <cell r="I210">
            <v>35966151.829999998</v>
          </cell>
          <cell r="J210">
            <v>784573598.37999988</v>
          </cell>
          <cell r="K210">
            <v>7690398.4699999997</v>
          </cell>
          <cell r="L210">
            <v>14869404.110000001</v>
          </cell>
          <cell r="M210">
            <v>1007198599.7899998</v>
          </cell>
        </row>
        <row r="211">
          <cell r="B211">
            <v>-4203881608.0500002</v>
          </cell>
          <cell r="C211">
            <v>-3872808.81</v>
          </cell>
          <cell r="D211">
            <v>-193171032.63</v>
          </cell>
          <cell r="E211">
            <v>-37547710.140000001</v>
          </cell>
          <cell r="F211">
            <v>-147788964.58000001</v>
          </cell>
          <cell r="H211">
            <v>-22096323.530000001</v>
          </cell>
          <cell r="I211">
            <v>-354194630.00999999</v>
          </cell>
          <cell r="J211">
            <v>-456064382.09000003</v>
          </cell>
          <cell r="K211">
            <v>-3570588.23</v>
          </cell>
          <cell r="M211">
            <v>-5422188048.0699997</v>
          </cell>
        </row>
        <row r="212">
          <cell r="B212">
            <v>386392572.97000003</v>
          </cell>
          <cell r="C212">
            <v>395728.87</v>
          </cell>
          <cell r="D212">
            <v>47704774.82</v>
          </cell>
          <cell r="E212">
            <v>3664534.37</v>
          </cell>
          <cell r="F212">
            <v>17471579.760000002</v>
          </cell>
          <cell r="H212">
            <v>242028.97</v>
          </cell>
          <cell r="I212">
            <v>2665318.5499999998</v>
          </cell>
          <cell r="J212">
            <v>11619535.060000001</v>
          </cell>
          <cell r="K212">
            <v>27140.59</v>
          </cell>
          <cell r="M212">
            <v>470183213.96000004</v>
          </cell>
        </row>
        <row r="213">
          <cell r="D213">
            <v>-16463552.18</v>
          </cell>
          <cell r="M213">
            <v>-16463552.18</v>
          </cell>
        </row>
        <row r="214">
          <cell r="D214">
            <v>47942.21</v>
          </cell>
          <cell r="M214">
            <v>47942.21</v>
          </cell>
        </row>
        <row r="215">
          <cell r="J215">
            <v>-160175.26</v>
          </cell>
          <cell r="L215">
            <v>-366687.65</v>
          </cell>
          <cell r="M215">
            <v>-526862.91</v>
          </cell>
        </row>
        <row r="216">
          <cell r="B216">
            <v>-59010187.759999998</v>
          </cell>
          <cell r="C216">
            <v>-217365529.09999999</v>
          </cell>
          <cell r="D216">
            <v>-146248769.28999999</v>
          </cell>
          <cell r="E216">
            <v>-237962092.46999997</v>
          </cell>
          <cell r="F216">
            <v>-191590145.68000004</v>
          </cell>
          <cell r="G216">
            <v>-110659116.79999998</v>
          </cell>
          <cell r="H216">
            <v>-16106628.439999999</v>
          </cell>
          <cell r="I216">
            <v>-107791418.95</v>
          </cell>
          <cell r="J216">
            <v>-438152275.71999991</v>
          </cell>
          <cell r="K216">
            <v>-240576791.40000001</v>
          </cell>
          <cell r="L216">
            <v>-17486955.390000001</v>
          </cell>
          <cell r="M216">
            <v>-1782949911.0000002</v>
          </cell>
        </row>
        <row r="217">
          <cell r="C217">
            <v>-50107145.359999999</v>
          </cell>
          <cell r="D217">
            <v>-23262418.109999996</v>
          </cell>
          <cell r="E217">
            <v>-101131818.58000003</v>
          </cell>
          <cell r="F217">
            <v>-42966693.270000003</v>
          </cell>
          <cell r="G217">
            <v>-677297221.98000014</v>
          </cell>
          <cell r="H217">
            <v>-65951154.320000008</v>
          </cell>
          <cell r="I217">
            <v>-97291989.87999998</v>
          </cell>
          <cell r="J217">
            <v>-199424323.04000002</v>
          </cell>
          <cell r="K217">
            <v>-48105797.829999998</v>
          </cell>
          <cell r="L217">
            <v>-8128180.4700000007</v>
          </cell>
          <cell r="M217">
            <v>-1313666742.8400002</v>
          </cell>
        </row>
        <row r="218">
          <cell r="B218">
            <v>50461925.75</v>
          </cell>
          <cell r="C218">
            <v>7579389.9800000004</v>
          </cell>
          <cell r="D218">
            <v>8753871.870000001</v>
          </cell>
          <cell r="E218">
            <v>8175393.5600000005</v>
          </cell>
          <cell r="F218">
            <v>2363957.65</v>
          </cell>
          <cell r="G218">
            <v>41297220.060000002</v>
          </cell>
          <cell r="H218">
            <v>163459.67000000001</v>
          </cell>
          <cell r="I218">
            <v>5455659.96</v>
          </cell>
          <cell r="J218">
            <v>82902164.560000002</v>
          </cell>
          <cell r="K218">
            <v>12013018.01</v>
          </cell>
          <cell r="L218">
            <v>2309424.4500000002</v>
          </cell>
          <cell r="M218">
            <v>221475485.51999998</v>
          </cell>
        </row>
        <row r="219">
          <cell r="C219">
            <v>502092.51</v>
          </cell>
          <cell r="D219">
            <v>233282.06</v>
          </cell>
          <cell r="E219">
            <v>9023993.4300000016</v>
          </cell>
          <cell r="F219">
            <v>431443.61</v>
          </cell>
          <cell r="G219">
            <v>12433393.240000002</v>
          </cell>
          <cell r="H219">
            <v>1393701.15</v>
          </cell>
          <cell r="I219">
            <v>976217.56</v>
          </cell>
          <cell r="J219">
            <v>24163431.289999999</v>
          </cell>
          <cell r="K219">
            <v>577010.29</v>
          </cell>
          <cell r="L219">
            <v>448192.97</v>
          </cell>
          <cell r="M219">
            <v>50182758.109999992</v>
          </cell>
        </row>
        <row r="220">
          <cell r="B220">
            <v>-313826594.54000002</v>
          </cell>
          <cell r="M220">
            <v>-313826594.54000002</v>
          </cell>
        </row>
        <row r="221">
          <cell r="B221">
            <v>-9827127705.289999</v>
          </cell>
          <cell r="M221">
            <v>-9827127705.289999</v>
          </cell>
        </row>
        <row r="222">
          <cell r="B222">
            <v>-2674131815.54</v>
          </cell>
          <cell r="M222">
            <v>-2674131815.54</v>
          </cell>
        </row>
        <row r="223">
          <cell r="B223">
            <v>-100000000</v>
          </cell>
          <cell r="M223">
            <v>-100000000</v>
          </cell>
        </row>
        <row r="224">
          <cell r="B224">
            <v>-538343582.45000005</v>
          </cell>
          <cell r="M224">
            <v>-538343582.45000005</v>
          </cell>
        </row>
        <row r="225">
          <cell r="B225">
            <v>-1240000000</v>
          </cell>
          <cell r="M225">
            <v>-1240000000</v>
          </cell>
        </row>
        <row r="226">
          <cell r="B226">
            <v>-10668991.539999999</v>
          </cell>
          <cell r="M226">
            <v>-10668991.539999999</v>
          </cell>
        </row>
        <row r="227">
          <cell r="B227">
            <v>-2630702040.4500003</v>
          </cell>
          <cell r="C227">
            <v>-106234383.29000001</v>
          </cell>
          <cell r="D227">
            <v>-247555092.25000003</v>
          </cell>
          <cell r="E227">
            <v>-63081699.849999994</v>
          </cell>
          <cell r="F227">
            <v>-84828504.450000003</v>
          </cell>
          <cell r="G227">
            <v>-78905235.739999995</v>
          </cell>
          <cell r="H227">
            <v>-17210559.110000003</v>
          </cell>
          <cell r="I227">
            <v>-23000420.57</v>
          </cell>
          <cell r="J227">
            <v>-294657104.48999995</v>
          </cell>
          <cell r="K227">
            <v>-192182118.11999997</v>
          </cell>
          <cell r="L227">
            <v>-59791613.099999994</v>
          </cell>
          <cell r="M227">
            <v>-3798148771.4199996</v>
          </cell>
        </row>
        <row r="228">
          <cell r="B228">
            <v>-20731402.009999994</v>
          </cell>
          <cell r="C228">
            <v>-1176723.99</v>
          </cell>
          <cell r="D228">
            <v>-5476293.8600000003</v>
          </cell>
          <cell r="E228">
            <v>-590160.32999999996</v>
          </cell>
          <cell r="F228">
            <v>-1557611.94</v>
          </cell>
          <cell r="G228">
            <v>-886686.81</v>
          </cell>
          <cell r="H228">
            <v>-244074.76</v>
          </cell>
          <cell r="I228">
            <v>-360607.66</v>
          </cell>
          <cell r="J228">
            <v>-4191973.63</v>
          </cell>
          <cell r="K228">
            <v>-4180684.15</v>
          </cell>
          <cell r="L228">
            <v>-883123.77</v>
          </cell>
          <cell r="M228">
            <v>-40279342.909999996</v>
          </cell>
        </row>
        <row r="229">
          <cell r="B229">
            <v>-785.53</v>
          </cell>
          <cell r="M229">
            <v>-785.53</v>
          </cell>
        </row>
        <row r="230">
          <cell r="B230">
            <v>-382803.73</v>
          </cell>
          <cell r="M230">
            <v>-382803.73</v>
          </cell>
        </row>
        <row r="231">
          <cell r="B231">
            <v>-17001820.100000001</v>
          </cell>
          <cell r="M231">
            <v>-17001820.100000001</v>
          </cell>
        </row>
        <row r="232">
          <cell r="B232">
            <v>0</v>
          </cell>
          <cell r="M232">
            <v>0</v>
          </cell>
        </row>
        <row r="233">
          <cell r="B233">
            <v>-55563383.519999996</v>
          </cell>
          <cell r="M233">
            <v>-55563383.519999996</v>
          </cell>
        </row>
        <row r="234">
          <cell r="B234">
            <v>-7030195.2400000002</v>
          </cell>
          <cell r="M234">
            <v>-7030195.2400000002</v>
          </cell>
        </row>
        <row r="235">
          <cell r="B235">
            <v>-1153743.3999999999</v>
          </cell>
          <cell r="C235">
            <v>-2826451.38</v>
          </cell>
          <cell r="D235">
            <v>-2707222.69</v>
          </cell>
          <cell r="E235">
            <v>-1984773.61</v>
          </cell>
          <cell r="F235">
            <v>-2014080.3</v>
          </cell>
          <cell r="G235">
            <v>-2948113.71</v>
          </cell>
          <cell r="H235">
            <v>-2048603.73</v>
          </cell>
          <cell r="I235">
            <v>-733927.84</v>
          </cell>
          <cell r="J235">
            <v>-2856929.69</v>
          </cell>
          <cell r="K235">
            <v>-1382160.07</v>
          </cell>
          <cell r="L235">
            <v>-1069853.55</v>
          </cell>
          <cell r="M235">
            <v>-21725859.970000003</v>
          </cell>
        </row>
        <row r="236">
          <cell r="B236">
            <v>-552449.56000000006</v>
          </cell>
          <cell r="C236">
            <v>-210085.58</v>
          </cell>
          <cell r="D236">
            <v>-224198.52</v>
          </cell>
          <cell r="E236">
            <v>-94337.37</v>
          </cell>
          <cell r="F236">
            <v>-141040.15</v>
          </cell>
          <cell r="G236">
            <v>-424007.98</v>
          </cell>
          <cell r="H236">
            <v>-130049.17</v>
          </cell>
          <cell r="I236">
            <v>-82124.34</v>
          </cell>
          <cell r="J236">
            <v>-150093.53</v>
          </cell>
          <cell r="K236">
            <v>-65624.94</v>
          </cell>
          <cell r="L236">
            <v>-84034.83</v>
          </cell>
          <cell r="M236">
            <v>-2158045.9700000002</v>
          </cell>
        </row>
        <row r="237">
          <cell r="B237">
            <v>-1240.73</v>
          </cell>
          <cell r="M237">
            <v>-1240.73</v>
          </cell>
        </row>
        <row r="238">
          <cell r="B238">
            <v>-140089482.91999999</v>
          </cell>
          <cell r="C238">
            <v>-20343095.339999996</v>
          </cell>
          <cell r="D238">
            <v>-36177730.190000013</v>
          </cell>
          <cell r="E238">
            <v>-30373621.549999997</v>
          </cell>
          <cell r="F238">
            <v>-23023423.099999998</v>
          </cell>
          <cell r="G238">
            <v>-59388007.180000022</v>
          </cell>
          <cell r="H238">
            <v>-36116036.340000004</v>
          </cell>
          <cell r="I238">
            <v>-16311388.150000004</v>
          </cell>
          <cell r="J238">
            <v>-25815996.829999994</v>
          </cell>
          <cell r="K238">
            <v>-12922334.360000003</v>
          </cell>
          <cell r="L238">
            <v>-17491798.830000006</v>
          </cell>
          <cell r="M238">
            <v>-418052914.78999996</v>
          </cell>
        </row>
        <row r="239">
          <cell r="B239">
            <v>-126645.04</v>
          </cell>
          <cell r="C239">
            <v>-1983747.66</v>
          </cell>
          <cell r="D239">
            <v>-3394891.33</v>
          </cell>
          <cell r="E239">
            <v>-1498807.72</v>
          </cell>
          <cell r="F239">
            <v>-2122053.4700000002</v>
          </cell>
          <cell r="G239">
            <v>-24401184.91</v>
          </cell>
          <cell r="H239">
            <v>-3310511.45</v>
          </cell>
          <cell r="I239">
            <v>-1674572.24</v>
          </cell>
          <cell r="J239">
            <v>-1810477.17</v>
          </cell>
          <cell r="K239">
            <v>-449734.56</v>
          </cell>
          <cell r="L239">
            <v>-2367312.0299999998</v>
          </cell>
          <cell r="M239">
            <v>-43139937.580000013</v>
          </cell>
        </row>
        <row r="240">
          <cell r="B240">
            <v>19204980.580000002</v>
          </cell>
          <cell r="C240">
            <v>-1028635.36</v>
          </cell>
          <cell r="D240">
            <v>-3678451.36</v>
          </cell>
          <cell r="E240">
            <v>-836688.12</v>
          </cell>
          <cell r="F240">
            <v>-1585906.41</v>
          </cell>
          <cell r="G240">
            <v>-22983667.640000004</v>
          </cell>
          <cell r="H240">
            <v>-1614918.52</v>
          </cell>
          <cell r="I240">
            <v>-1239828.7</v>
          </cell>
          <cell r="J240">
            <v>-10843959.49</v>
          </cell>
          <cell r="K240">
            <v>-871135.21</v>
          </cell>
          <cell r="L240">
            <v>-2290351.63</v>
          </cell>
          <cell r="M240">
            <v>-27768561.859999999</v>
          </cell>
        </row>
        <row r="241">
          <cell r="B241">
            <v>0</v>
          </cell>
          <cell r="C241">
            <v>-937410.29</v>
          </cell>
          <cell r="D241">
            <v>-1126371.8799999999</v>
          </cell>
          <cell r="E241">
            <v>-202931.63</v>
          </cell>
          <cell r="F241">
            <v>-154905.22</v>
          </cell>
          <cell r="G241">
            <v>-10369601.6</v>
          </cell>
          <cell r="H241">
            <v>-803862.4</v>
          </cell>
          <cell r="I241">
            <v>-193486.24</v>
          </cell>
          <cell r="J241">
            <v>-1549328.98</v>
          </cell>
          <cell r="K241">
            <v>-1155766.96</v>
          </cell>
          <cell r="L241">
            <v>-985105.18</v>
          </cell>
          <cell r="M241">
            <v>-17478770.380000003</v>
          </cell>
        </row>
        <row r="242">
          <cell r="B242">
            <v>7530761.6100000003</v>
          </cell>
          <cell r="M242">
            <v>7530761.6100000003</v>
          </cell>
        </row>
        <row r="243">
          <cell r="B243">
            <v>1577553.3</v>
          </cell>
          <cell r="J243">
            <v>-18716.82</v>
          </cell>
          <cell r="M243">
            <v>1558836.48</v>
          </cell>
        </row>
        <row r="244">
          <cell r="B244">
            <v>-19611066.720000003</v>
          </cell>
          <cell r="D244">
            <v>-888.99</v>
          </cell>
          <cell r="G244">
            <v>-6485.93</v>
          </cell>
          <cell r="I244">
            <v>-3453.33</v>
          </cell>
          <cell r="J244">
            <v>-13552.9</v>
          </cell>
          <cell r="K244">
            <v>-2187.81</v>
          </cell>
          <cell r="M244">
            <v>-19637635.679999996</v>
          </cell>
        </row>
        <row r="245">
          <cell r="B245">
            <v>-32348012.07</v>
          </cell>
          <cell r="C245">
            <v>-1765.1</v>
          </cell>
          <cell r="M245">
            <v>-32349777.170000002</v>
          </cell>
        </row>
        <row r="246">
          <cell r="B246">
            <v>-12166060.68</v>
          </cell>
          <cell r="M246">
            <v>-12166060.68</v>
          </cell>
        </row>
        <row r="247">
          <cell r="B247">
            <v>-4019572.9</v>
          </cell>
          <cell r="M247">
            <v>-4019572.9</v>
          </cell>
        </row>
        <row r="248">
          <cell r="B248">
            <v>-16507914.759999998</v>
          </cell>
          <cell r="M248">
            <v>-16507914.759999998</v>
          </cell>
        </row>
        <row r="249">
          <cell r="B249">
            <v>-2436314.83</v>
          </cell>
          <cell r="M249">
            <v>-2436314.83</v>
          </cell>
        </row>
        <row r="250">
          <cell r="B250">
            <v>-134031513.62</v>
          </cell>
          <cell r="M250">
            <v>-134031513.62</v>
          </cell>
        </row>
        <row r="251">
          <cell r="B251">
            <v>-11526632.17</v>
          </cell>
          <cell r="M251">
            <v>-11526632.17</v>
          </cell>
        </row>
        <row r="252">
          <cell r="B252">
            <v>-4873881.43</v>
          </cell>
          <cell r="D252">
            <v>-0.6</v>
          </cell>
          <cell r="F252">
            <v>-0.19</v>
          </cell>
          <cell r="G252">
            <v>-649.30999999999995</v>
          </cell>
          <cell r="H252">
            <v>-368.05</v>
          </cell>
          <cell r="J252">
            <v>0</v>
          </cell>
          <cell r="M252">
            <v>-4874899.58</v>
          </cell>
        </row>
        <row r="253">
          <cell r="B253">
            <v>-125007095.34</v>
          </cell>
          <cell r="C253">
            <v>-58980.68</v>
          </cell>
          <cell r="D253">
            <v>-27332724.049999997</v>
          </cell>
          <cell r="E253">
            <v>-1498.46</v>
          </cell>
          <cell r="F253">
            <v>-993.96</v>
          </cell>
          <cell r="G253">
            <v>-150989.72</v>
          </cell>
          <cell r="H253">
            <v>-19930.150000000001</v>
          </cell>
          <cell r="I253">
            <v>-34332.21</v>
          </cell>
          <cell r="J253">
            <v>-2616636.5099999998</v>
          </cell>
          <cell r="K253">
            <v>-1089689.08</v>
          </cell>
          <cell r="L253">
            <v>-4336.7299999999996</v>
          </cell>
          <cell r="M253">
            <v>-156317206.89000002</v>
          </cell>
        </row>
        <row r="254">
          <cell r="B254">
            <v>-2123745.56</v>
          </cell>
          <cell r="M254">
            <v>-2123745.56</v>
          </cell>
        </row>
        <row r="255">
          <cell r="B255">
            <v>-74133157.030000001</v>
          </cell>
          <cell r="C255">
            <v>-1073528.1000000001</v>
          </cell>
          <cell r="D255">
            <v>-3417588.52</v>
          </cell>
          <cell r="E255">
            <v>-347807.48</v>
          </cell>
          <cell r="F255">
            <v>-677821.18</v>
          </cell>
          <cell r="G255">
            <v>-8893318.3699999973</v>
          </cell>
          <cell r="H255">
            <v>-1873001.85</v>
          </cell>
          <cell r="I255">
            <v>-1818666</v>
          </cell>
          <cell r="J255">
            <v>-1250001.93</v>
          </cell>
          <cell r="K255">
            <v>-1301350.1499999999</v>
          </cell>
          <cell r="L255">
            <v>-2562526.19</v>
          </cell>
          <cell r="M255">
            <v>-97348766.800000012</v>
          </cell>
        </row>
        <row r="256">
          <cell r="B256">
            <v>-373816903.10000002</v>
          </cell>
          <cell r="C256">
            <v>-27256350.27</v>
          </cell>
          <cell r="D256">
            <v>-31276785.550000001</v>
          </cell>
          <cell r="E256">
            <v>-19746834.990000002</v>
          </cell>
          <cell r="F256">
            <v>-25117283.280000001</v>
          </cell>
          <cell r="G256">
            <v>-29477510.849999998</v>
          </cell>
          <cell r="H256">
            <v>-20670273.789999999</v>
          </cell>
          <cell r="I256">
            <v>-16807439.5</v>
          </cell>
          <cell r="J256">
            <v>-43386050.239999995</v>
          </cell>
          <cell r="K256">
            <v>-25422834.049999997</v>
          </cell>
          <cell r="L256">
            <v>-16819939.140000001</v>
          </cell>
          <cell r="M256">
            <v>-629798204.76000011</v>
          </cell>
        </row>
        <row r="257">
          <cell r="B257">
            <v>-26290249.019999996</v>
          </cell>
          <cell r="C257">
            <v>-1931189.65</v>
          </cell>
          <cell r="D257">
            <v>-2220467.25</v>
          </cell>
          <cell r="E257">
            <v>-1406089.81</v>
          </cell>
          <cell r="F257">
            <v>-1781447.21</v>
          </cell>
          <cell r="G257">
            <v>-2103467.84</v>
          </cell>
          <cell r="H257">
            <v>-1470650.16</v>
          </cell>
          <cell r="I257">
            <v>-1208490.67</v>
          </cell>
          <cell r="J257">
            <v>-3107275.54</v>
          </cell>
          <cell r="K257">
            <v>-1802018.39</v>
          </cell>
          <cell r="L257">
            <v>-1190621.81</v>
          </cell>
          <cell r="M257">
            <v>-44511967.349999987</v>
          </cell>
        </row>
        <row r="258">
          <cell r="B258">
            <v>-32360042.66</v>
          </cell>
          <cell r="C258">
            <v>-2377056.63</v>
          </cell>
          <cell r="D258">
            <v>-2733119.62</v>
          </cell>
          <cell r="E258">
            <v>-1730722.97</v>
          </cell>
          <cell r="F258">
            <v>-2192738.9</v>
          </cell>
          <cell r="G258">
            <v>-2589108.6</v>
          </cell>
          <cell r="H258">
            <v>-1810189.22</v>
          </cell>
          <cell r="I258">
            <v>-1487502.63</v>
          </cell>
          <cell r="J258">
            <v>-3824672.27</v>
          </cell>
          <cell r="K258">
            <v>-2218062.25</v>
          </cell>
          <cell r="L258">
            <v>-1465506.55</v>
          </cell>
          <cell r="M258">
            <v>-54788722.299999997</v>
          </cell>
        </row>
        <row r="259">
          <cell r="B259">
            <v>-26877594.060000002</v>
          </cell>
          <cell r="C259">
            <v>-1020725.55</v>
          </cell>
          <cell r="D259">
            <v>-1121627.83</v>
          </cell>
          <cell r="E259">
            <v>-732485.32</v>
          </cell>
          <cell r="F259">
            <v>-821870.62</v>
          </cell>
          <cell r="G259">
            <v>-1132432.8</v>
          </cell>
          <cell r="H259">
            <v>-667547.79</v>
          </cell>
          <cell r="I259">
            <v>-666756.03</v>
          </cell>
          <cell r="J259">
            <v>-1690166.77</v>
          </cell>
          <cell r="K259">
            <v>-895893.22</v>
          </cell>
          <cell r="L259">
            <v>-808036.06</v>
          </cell>
          <cell r="M259">
            <v>-36435136.050000012</v>
          </cell>
        </row>
        <row r="260">
          <cell r="B260">
            <v>-15408296.539999999</v>
          </cell>
          <cell r="C260">
            <v>-1878342.15</v>
          </cell>
          <cell r="D260">
            <v>-1673764.85</v>
          </cell>
          <cell r="E260">
            <v>-1868103.33</v>
          </cell>
          <cell r="F260">
            <v>-1676691.48</v>
          </cell>
          <cell r="G260">
            <v>-1720568.52</v>
          </cell>
          <cell r="H260">
            <v>-1267787.31</v>
          </cell>
          <cell r="I260">
            <v>-948559.19</v>
          </cell>
          <cell r="J260">
            <v>-2418395.19</v>
          </cell>
          <cell r="K260">
            <v>-1316248.0900000001</v>
          </cell>
          <cell r="L260">
            <v>-670662.28</v>
          </cell>
          <cell r="M260">
            <v>-30847418.93</v>
          </cell>
        </row>
        <row r="261">
          <cell r="B261">
            <v>-16617183.09</v>
          </cell>
          <cell r="C261">
            <v>-2150333.83</v>
          </cell>
          <cell r="D261">
            <v>-2437609.9300000002</v>
          </cell>
          <cell r="E261">
            <v>-1547430.14</v>
          </cell>
          <cell r="F261">
            <v>-2115745.2200000002</v>
          </cell>
          <cell r="G261">
            <v>-2240062.5</v>
          </cell>
          <cell r="H261">
            <v>-1726830.15</v>
          </cell>
          <cell r="I261">
            <v>-1216819.1200000001</v>
          </cell>
          <cell r="J261">
            <v>-3165786.76</v>
          </cell>
          <cell r="K261">
            <v>-2087240.81</v>
          </cell>
          <cell r="L261">
            <v>-1151078.31</v>
          </cell>
          <cell r="M261">
            <v>-36456119.860000007</v>
          </cell>
        </row>
        <row r="262">
          <cell r="B262">
            <v>-1209545.81</v>
          </cell>
          <cell r="C262">
            <v>-11577.57</v>
          </cell>
          <cell r="D262">
            <v>-184703.29</v>
          </cell>
          <cell r="E262">
            <v>-60038.400000000001</v>
          </cell>
          <cell r="F262">
            <v>-116641.77</v>
          </cell>
          <cell r="G262">
            <v>-103050.99</v>
          </cell>
          <cell r="H262">
            <v>-42415.19</v>
          </cell>
          <cell r="I262">
            <v>-126818.44</v>
          </cell>
          <cell r="J262">
            <v>-262430.57</v>
          </cell>
          <cell r="K262">
            <v>-142407.51999999999</v>
          </cell>
          <cell r="L262">
            <v>-63473.440000000002</v>
          </cell>
          <cell r="M262">
            <v>-2323102.9900000002</v>
          </cell>
        </row>
        <row r="263">
          <cell r="B263">
            <v>-2109847.2999999998</v>
          </cell>
          <cell r="C263">
            <v>-1143563.97</v>
          </cell>
          <cell r="E263">
            <v>-26628.63</v>
          </cell>
          <cell r="F263">
            <v>-449088.58</v>
          </cell>
          <cell r="H263">
            <v>-2343909.58</v>
          </cell>
          <cell r="J263">
            <v>-53382.35</v>
          </cell>
          <cell r="M263">
            <v>-6126420.4099999992</v>
          </cell>
        </row>
        <row r="264">
          <cell r="B264">
            <v>-38385729.640000001</v>
          </cell>
          <cell r="C264">
            <v>-3846070.85</v>
          </cell>
          <cell r="D264">
            <v>-5247863.4000000004</v>
          </cell>
          <cell r="E264">
            <v>-2702474.98</v>
          </cell>
          <cell r="F264">
            <v>-3868952.93</v>
          </cell>
          <cell r="G264">
            <v>-4278080.38</v>
          </cell>
          <cell r="H264">
            <v>-3195374.24</v>
          </cell>
          <cell r="I264">
            <v>-2434461.08</v>
          </cell>
          <cell r="J264">
            <v>-6421143.6400000006</v>
          </cell>
          <cell r="K264">
            <v>-3642325.91</v>
          </cell>
          <cell r="L264">
            <v>-2218733.98</v>
          </cell>
          <cell r="M264">
            <v>-76241211.030000001</v>
          </cell>
        </row>
        <row r="265">
          <cell r="B265">
            <v>-9573636.8900000006</v>
          </cell>
          <cell r="C265">
            <v>-988515.24</v>
          </cell>
          <cell r="D265">
            <v>-1157648.6399999999</v>
          </cell>
          <cell r="E265">
            <v>-875209.15</v>
          </cell>
          <cell r="F265">
            <v>-1058481.83</v>
          </cell>
          <cell r="G265">
            <v>-778451.62</v>
          </cell>
          <cell r="H265">
            <v>-570487.72</v>
          </cell>
          <cell r="I265">
            <v>-613240.91</v>
          </cell>
          <cell r="J265">
            <v>-1642370.57</v>
          </cell>
          <cell r="K265">
            <v>-947960.96</v>
          </cell>
          <cell r="L265">
            <v>-443438.95</v>
          </cell>
          <cell r="M265">
            <v>-18649442.48</v>
          </cell>
        </row>
        <row r="266">
          <cell r="B266">
            <v>-4943952.3499999996</v>
          </cell>
          <cell r="C266">
            <v>-694319.81</v>
          </cell>
          <cell r="D266">
            <v>-476150.95</v>
          </cell>
          <cell r="E266">
            <v>-18745.18</v>
          </cell>
          <cell r="F266">
            <v>-491494.56</v>
          </cell>
          <cell r="G266">
            <v>-698339.81</v>
          </cell>
          <cell r="H266">
            <v>-263379.03000000003</v>
          </cell>
          <cell r="I266">
            <v>-649716.62</v>
          </cell>
          <cell r="J266">
            <v>-818093.5</v>
          </cell>
          <cell r="K266">
            <v>-322419.64</v>
          </cell>
          <cell r="L266">
            <v>-195499.23</v>
          </cell>
          <cell r="M266">
            <v>-9572110.6800000016</v>
          </cell>
        </row>
        <row r="267">
          <cell r="B267">
            <v>-3461534.48</v>
          </cell>
          <cell r="C267">
            <v>-23390</v>
          </cell>
          <cell r="D267">
            <v>-74312.31</v>
          </cell>
          <cell r="E267">
            <v>-20091.47</v>
          </cell>
          <cell r="G267">
            <v>-7.25</v>
          </cell>
          <cell r="H267">
            <v>-20042.37</v>
          </cell>
          <cell r="I267">
            <v>-20016.86</v>
          </cell>
          <cell r="J267">
            <v>-30382.12</v>
          </cell>
          <cell r="L267">
            <v>-33556.58</v>
          </cell>
          <cell r="M267">
            <v>-3683333.44</v>
          </cell>
        </row>
        <row r="268">
          <cell r="B268">
            <v>-861223.29</v>
          </cell>
          <cell r="C268">
            <v>-80273.33</v>
          </cell>
          <cell r="E268">
            <v>-2487.88</v>
          </cell>
          <cell r="F268">
            <v>-17642.169999999998</v>
          </cell>
          <cell r="G268">
            <v>-85041.25</v>
          </cell>
          <cell r="H268">
            <v>-40532.050000000003</v>
          </cell>
          <cell r="I268">
            <v>-26952.36</v>
          </cell>
          <cell r="J268">
            <v>-30085.57</v>
          </cell>
          <cell r="K268">
            <v>-7204.21</v>
          </cell>
          <cell r="L268">
            <v>-90904.15</v>
          </cell>
          <cell r="M268">
            <v>-1242346.26</v>
          </cell>
        </row>
        <row r="269">
          <cell r="B269">
            <v>-50005760.329999998</v>
          </cell>
          <cell r="C269">
            <v>-3984982.21</v>
          </cell>
          <cell r="D269">
            <v>-6319002.9499999983</v>
          </cell>
          <cell r="E269">
            <v>-4324143.42</v>
          </cell>
          <cell r="F269">
            <v>-1913008.06</v>
          </cell>
          <cell r="G269">
            <v>-6612093.2700000005</v>
          </cell>
          <cell r="H269">
            <v>-3163586.57</v>
          </cell>
          <cell r="I269">
            <v>-1266113.5900000001</v>
          </cell>
          <cell r="J269">
            <v>-3135238.34</v>
          </cell>
          <cell r="K269">
            <v>-3719465.87</v>
          </cell>
          <cell r="L269">
            <v>-1361155.58</v>
          </cell>
          <cell r="M269">
            <v>-85804550.190000013</v>
          </cell>
        </row>
        <row r="270">
          <cell r="B270">
            <v>-96999475.23999998</v>
          </cell>
          <cell r="C270">
            <v>-4678520.17</v>
          </cell>
          <cell r="D270">
            <v>-8257946.8500000006</v>
          </cell>
          <cell r="E270">
            <v>-853101.7</v>
          </cell>
          <cell r="F270">
            <v>-2482130</v>
          </cell>
          <cell r="G270">
            <v>-1973727.91</v>
          </cell>
          <cell r="H270">
            <v>-1614774.2</v>
          </cell>
          <cell r="I270">
            <v>-1481094.06</v>
          </cell>
          <cell r="J270">
            <v>-4356524.2300000004</v>
          </cell>
          <cell r="K270">
            <v>-3313821.98</v>
          </cell>
          <cell r="L270">
            <v>-1462072.72</v>
          </cell>
          <cell r="M270">
            <v>-127473189.05999999</v>
          </cell>
        </row>
        <row r="271">
          <cell r="B271">
            <v>-2700161.6</v>
          </cell>
          <cell r="C271">
            <v>-386342.89</v>
          </cell>
          <cell r="D271">
            <v>-695564.89</v>
          </cell>
          <cell r="E271">
            <v>-150769.72</v>
          </cell>
          <cell r="F271">
            <v>-268402.09000000003</v>
          </cell>
          <cell r="G271">
            <v>-188067.87</v>
          </cell>
          <cell r="H271">
            <v>-572544.13</v>
          </cell>
          <cell r="I271">
            <v>-163404.91</v>
          </cell>
          <cell r="J271">
            <v>-413730.35</v>
          </cell>
          <cell r="K271">
            <v>-378536.71</v>
          </cell>
          <cell r="L271">
            <v>-2615.96</v>
          </cell>
          <cell r="M271">
            <v>-5920141.1199999992</v>
          </cell>
        </row>
        <row r="272">
          <cell r="B272">
            <v>-81343612.460000008</v>
          </cell>
          <cell r="C272">
            <v>-429307.18</v>
          </cell>
          <cell r="D272">
            <v>-672080.79</v>
          </cell>
          <cell r="E272">
            <v>-198711.69</v>
          </cell>
          <cell r="F272">
            <v>-1005657</v>
          </cell>
          <cell r="G272">
            <v>-456531.01</v>
          </cell>
          <cell r="H272">
            <v>-75727.820000000007</v>
          </cell>
          <cell r="I272">
            <v>-246576.58</v>
          </cell>
          <cell r="J272">
            <v>-1358844.39</v>
          </cell>
          <cell r="K272">
            <v>-715979.28</v>
          </cell>
          <cell r="L272">
            <v>-326273.99</v>
          </cell>
          <cell r="M272">
            <v>-86829302.190000013</v>
          </cell>
        </row>
        <row r="273">
          <cell r="B273">
            <v>-18217405.470000003</v>
          </cell>
          <cell r="C273">
            <v>-62200.38</v>
          </cell>
          <cell r="D273">
            <v>-462639.83</v>
          </cell>
          <cell r="E273">
            <v>-252536.84</v>
          </cell>
          <cell r="F273">
            <v>-163873.79</v>
          </cell>
          <cell r="G273">
            <v>-24536.47</v>
          </cell>
          <cell r="H273">
            <v>-89100.22</v>
          </cell>
          <cell r="I273">
            <v>-158287.49</v>
          </cell>
          <cell r="J273">
            <v>-71452.899999999994</v>
          </cell>
          <cell r="K273">
            <v>-320118.73</v>
          </cell>
          <cell r="L273">
            <v>-51183.46</v>
          </cell>
          <cell r="M273">
            <v>-19873335.579999994</v>
          </cell>
        </row>
        <row r="274">
          <cell r="B274">
            <v>-1161757.6399999999</v>
          </cell>
          <cell r="C274">
            <v>-6747.33</v>
          </cell>
          <cell r="D274">
            <v>-30366.13</v>
          </cell>
          <cell r="G274">
            <v>-1264.43</v>
          </cell>
          <cell r="H274">
            <v>-5942.04</v>
          </cell>
          <cell r="I274">
            <v>-86776.28</v>
          </cell>
          <cell r="J274">
            <v>-49593.75</v>
          </cell>
          <cell r="K274">
            <v>-85129.9</v>
          </cell>
          <cell r="M274">
            <v>-1427577.5</v>
          </cell>
        </row>
        <row r="275">
          <cell r="B275">
            <v>-24871210.630000003</v>
          </cell>
          <cell r="C275">
            <v>-180071.49</v>
          </cell>
          <cell r="D275">
            <v>-95910.47</v>
          </cell>
          <cell r="F275">
            <v>-6555.09</v>
          </cell>
          <cell r="H275">
            <v>-24.71</v>
          </cell>
          <cell r="I275">
            <v>-9015.19</v>
          </cell>
          <cell r="J275">
            <v>-524773.31999999995</v>
          </cell>
          <cell r="K275">
            <v>-215379.24</v>
          </cell>
          <cell r="L275">
            <v>-98631.52</v>
          </cell>
          <cell r="M275">
            <v>-26001571.66</v>
          </cell>
        </row>
        <row r="276">
          <cell r="B276">
            <v>-12523579.060000001</v>
          </cell>
          <cell r="M276">
            <v>-12523579.060000001</v>
          </cell>
        </row>
        <row r="277">
          <cell r="B277">
            <v>-5960464.6099999994</v>
          </cell>
          <cell r="C277">
            <v>-5410.99</v>
          </cell>
          <cell r="F277">
            <v>-4076.42</v>
          </cell>
          <cell r="G277">
            <v>-9933.7800000000007</v>
          </cell>
          <cell r="H277">
            <v>104.9</v>
          </cell>
          <cell r="J277">
            <v>-8385.84</v>
          </cell>
          <cell r="M277">
            <v>-5988166.7399999993</v>
          </cell>
        </row>
        <row r="278">
          <cell r="B278">
            <v>-2861746.76</v>
          </cell>
          <cell r="C278">
            <v>-266686.03000000003</v>
          </cell>
          <cell r="D278">
            <v>-51912.27</v>
          </cell>
          <cell r="F278">
            <v>-264919.46999999997</v>
          </cell>
          <cell r="G278">
            <v>-67883.59</v>
          </cell>
          <cell r="H278">
            <v>-23747.54</v>
          </cell>
          <cell r="I278">
            <v>-67443.960000000006</v>
          </cell>
          <cell r="J278">
            <v>-134854.51</v>
          </cell>
          <cell r="K278">
            <v>-65191.519999999997</v>
          </cell>
          <cell r="L278">
            <v>-79389.02</v>
          </cell>
          <cell r="M278">
            <v>-3883774.67</v>
          </cell>
        </row>
        <row r="279">
          <cell r="B279">
            <v>-57942976.359999999</v>
          </cell>
          <cell r="C279">
            <v>-4975306.53</v>
          </cell>
          <cell r="D279">
            <v>-4718245.08</v>
          </cell>
          <cell r="E279">
            <v>-3859894.31</v>
          </cell>
          <cell r="F279">
            <v>-4575966.66</v>
          </cell>
          <cell r="G279">
            <v>-4775741.6399999997</v>
          </cell>
          <cell r="H279">
            <v>-3375683.55</v>
          </cell>
          <cell r="I279">
            <v>-3707134.87</v>
          </cell>
          <cell r="J279">
            <v>-6713138.5099999998</v>
          </cell>
          <cell r="K279">
            <v>-2784423.34</v>
          </cell>
          <cell r="L279">
            <v>-1402371.23</v>
          </cell>
          <cell r="M279">
            <v>-98830882.080000013</v>
          </cell>
        </row>
        <row r="280">
          <cell r="B280">
            <v>-17904676.990000002</v>
          </cell>
          <cell r="C280">
            <v>-736221.84</v>
          </cell>
          <cell r="D280">
            <v>-1.8</v>
          </cell>
          <cell r="F280">
            <v>-181616.33</v>
          </cell>
          <cell r="L280">
            <v>-261169.48</v>
          </cell>
          <cell r="M280">
            <v>-19083686.440000001</v>
          </cell>
        </row>
        <row r="281">
          <cell r="B281">
            <v>-112295.03</v>
          </cell>
          <cell r="C281">
            <v>-8157.58</v>
          </cell>
          <cell r="M281">
            <v>-120452.61</v>
          </cell>
        </row>
        <row r="282">
          <cell r="B282">
            <v>-2158635.66</v>
          </cell>
          <cell r="C282">
            <v>-87574.25</v>
          </cell>
          <cell r="D282">
            <v>-78119.69</v>
          </cell>
          <cell r="E282">
            <v>-11744.43</v>
          </cell>
          <cell r="F282">
            <v>-266421.17</v>
          </cell>
          <cell r="G282">
            <v>-88119</v>
          </cell>
          <cell r="H282">
            <v>-66906.759999999995</v>
          </cell>
          <cell r="I282">
            <v>-153854.1</v>
          </cell>
          <cell r="J282">
            <v>-839976.6</v>
          </cell>
          <cell r="K282">
            <v>-10693.65</v>
          </cell>
          <cell r="L282">
            <v>-15136.28</v>
          </cell>
          <cell r="M282">
            <v>-3777181.59</v>
          </cell>
        </row>
        <row r="283">
          <cell r="B283">
            <v>-5940145.04</v>
          </cell>
          <cell r="M283">
            <v>-5940145.04</v>
          </cell>
        </row>
        <row r="284">
          <cell r="B284">
            <v>-1611129.49</v>
          </cell>
          <cell r="C284">
            <v>-53584.7</v>
          </cell>
          <cell r="D284">
            <v>-34653.85</v>
          </cell>
          <cell r="E284">
            <v>-17150.25</v>
          </cell>
          <cell r="F284">
            <v>-46696.14</v>
          </cell>
          <cell r="G284">
            <v>-216712.06</v>
          </cell>
          <cell r="H284">
            <v>-620765.69999999995</v>
          </cell>
          <cell r="I284">
            <v>-2858.61</v>
          </cell>
          <cell r="J284">
            <v>-28255.49</v>
          </cell>
          <cell r="K284">
            <v>-43320.08</v>
          </cell>
          <cell r="L284">
            <v>-15707.98</v>
          </cell>
          <cell r="M284">
            <v>-2690834.35</v>
          </cell>
        </row>
        <row r="285">
          <cell r="B285">
            <v>-17067270.379999999</v>
          </cell>
          <cell r="M285">
            <v>-17067270.379999999</v>
          </cell>
        </row>
        <row r="286">
          <cell r="B286">
            <v>-188248201.97</v>
          </cell>
          <cell r="C286">
            <v>-2312977.33</v>
          </cell>
          <cell r="D286">
            <v>-41676965.75</v>
          </cell>
          <cell r="E286">
            <v>-4034551.67</v>
          </cell>
          <cell r="F286">
            <v>-14025392.959999999</v>
          </cell>
          <cell r="G286">
            <v>-2311001.4</v>
          </cell>
          <cell r="H286">
            <v>-463994.78</v>
          </cell>
          <cell r="I286">
            <v>-17001136.210000001</v>
          </cell>
          <cell r="J286">
            <v>-11349317.9</v>
          </cell>
          <cell r="K286">
            <v>-3001190.86</v>
          </cell>
          <cell r="L286">
            <v>-3539328.06</v>
          </cell>
          <cell r="M286">
            <v>-287964058.88999999</v>
          </cell>
        </row>
        <row r="287">
          <cell r="B287">
            <v>0</v>
          </cell>
          <cell r="M287">
            <v>0</v>
          </cell>
        </row>
        <row r="288">
          <cell r="B288">
            <v>0</v>
          </cell>
          <cell r="M288">
            <v>0</v>
          </cell>
        </row>
        <row r="289">
          <cell r="B289">
            <v>-117924331.59999999</v>
          </cell>
          <cell r="M289">
            <v>-117924331.59999999</v>
          </cell>
        </row>
        <row r="290">
          <cell r="B290">
            <v>-2607299.41</v>
          </cell>
          <cell r="M290">
            <v>-2607299.41</v>
          </cell>
        </row>
        <row r="291">
          <cell r="B291">
            <v>-195466968.76000002</v>
          </cell>
          <cell r="C291">
            <v>-12856396.419999998</v>
          </cell>
          <cell r="D291">
            <v>-71317609.050000012</v>
          </cell>
          <cell r="E291">
            <v>-13847820.850000001</v>
          </cell>
          <cell r="F291">
            <v>-40499905.129999995</v>
          </cell>
          <cell r="G291">
            <v>-5570391.6400000015</v>
          </cell>
          <cell r="H291">
            <v>-2314183.15</v>
          </cell>
          <cell r="I291">
            <v>-38056854.399999999</v>
          </cell>
          <cell r="J291">
            <v>-69746739.549999982</v>
          </cell>
          <cell r="K291">
            <v>-11241157.139999999</v>
          </cell>
          <cell r="L291">
            <v>-12343756.300000001</v>
          </cell>
          <cell r="M291">
            <v>-473261782.38999993</v>
          </cell>
        </row>
        <row r="292">
          <cell r="B292">
            <v>-80911.23</v>
          </cell>
          <cell r="D292">
            <v>-2400.8200000000002</v>
          </cell>
          <cell r="F292">
            <v>-612.78</v>
          </cell>
          <cell r="G292">
            <v>-404869.21</v>
          </cell>
          <cell r="J292">
            <v>-74177.84</v>
          </cell>
          <cell r="M292">
            <v>-562971.88</v>
          </cell>
        </row>
        <row r="293">
          <cell r="B293">
            <v>-16370.59</v>
          </cell>
          <cell r="M293">
            <v>-16370.59</v>
          </cell>
        </row>
        <row r="294">
          <cell r="B294">
            <v>6068052.1900000004</v>
          </cell>
          <cell r="M294">
            <v>6068052.1900000004</v>
          </cell>
        </row>
        <row r="295">
          <cell r="B295">
            <v>308524.82</v>
          </cell>
          <cell r="M295">
            <v>308524.82</v>
          </cell>
        </row>
        <row r="296">
          <cell r="B296">
            <v>6953413.5099999998</v>
          </cell>
          <cell r="M296">
            <v>6953413.5099999998</v>
          </cell>
        </row>
        <row r="297">
          <cell r="B297">
            <v>26634613.390000001</v>
          </cell>
          <cell r="M297">
            <v>26634613.390000001</v>
          </cell>
        </row>
        <row r="298">
          <cell r="B298">
            <v>7996052.040000001</v>
          </cell>
          <cell r="M298">
            <v>7996052.040000001</v>
          </cell>
        </row>
        <row r="299">
          <cell r="B299">
            <v>49372271.909999996</v>
          </cell>
          <cell r="M299">
            <v>49372271.909999996</v>
          </cell>
        </row>
        <row r="300">
          <cell r="B300">
            <v>16682368.869999999</v>
          </cell>
          <cell r="M300">
            <v>16682368.869999999</v>
          </cell>
        </row>
        <row r="301">
          <cell r="B301">
            <v>289687965.35000002</v>
          </cell>
          <cell r="C301">
            <v>22386199.609999996</v>
          </cell>
          <cell r="D301">
            <v>14117950.849999998</v>
          </cell>
          <cell r="E301">
            <v>8915207.8399999999</v>
          </cell>
          <cell r="F301">
            <v>10714754.030000001</v>
          </cell>
          <cell r="G301">
            <v>18465232.509999998</v>
          </cell>
          <cell r="H301">
            <v>2277702.9900000002</v>
          </cell>
          <cell r="I301">
            <v>38930188.57</v>
          </cell>
          <cell r="J301">
            <v>32853651.559999999</v>
          </cell>
          <cell r="K301">
            <v>9772144.6699999999</v>
          </cell>
          <cell r="L301">
            <v>1513785.74</v>
          </cell>
          <cell r="M301">
            <v>449634783.72000009</v>
          </cell>
        </row>
        <row r="302">
          <cell r="B302">
            <v>96484853.329999998</v>
          </cell>
          <cell r="C302">
            <v>1552575.14</v>
          </cell>
          <cell r="D302">
            <v>2445694.48</v>
          </cell>
          <cell r="E302">
            <v>430806.35</v>
          </cell>
          <cell r="F302">
            <v>1936145.64</v>
          </cell>
          <cell r="I302">
            <v>4483821.01</v>
          </cell>
          <cell r="J302">
            <v>8033707.8800000008</v>
          </cell>
          <cell r="K302">
            <v>1095526.82</v>
          </cell>
          <cell r="L302">
            <v>148995.57999999999</v>
          </cell>
          <cell r="M302">
            <v>116612126.22999999</v>
          </cell>
        </row>
        <row r="303">
          <cell r="B303">
            <v>128155.55</v>
          </cell>
          <cell r="M303">
            <v>128155.55</v>
          </cell>
        </row>
        <row r="304">
          <cell r="B304">
            <v>145100742.88</v>
          </cell>
          <cell r="C304">
            <v>8063483.0000000009</v>
          </cell>
          <cell r="D304">
            <v>9543558.8900000025</v>
          </cell>
          <cell r="E304">
            <v>80946.69</v>
          </cell>
          <cell r="F304">
            <v>77198.740000000005</v>
          </cell>
          <cell r="G304">
            <v>73061.64</v>
          </cell>
          <cell r="H304">
            <v>28322.33</v>
          </cell>
          <cell r="I304">
            <v>473570.22</v>
          </cell>
          <cell r="J304">
            <v>1554835.7</v>
          </cell>
          <cell r="K304">
            <v>1794036.24</v>
          </cell>
          <cell r="L304">
            <v>74179.649999999994</v>
          </cell>
          <cell r="M304">
            <v>166863935.98000002</v>
          </cell>
        </row>
        <row r="305">
          <cell r="B305">
            <v>79407709.519999996</v>
          </cell>
          <cell r="C305">
            <v>5279204.6900000004</v>
          </cell>
          <cell r="D305">
            <v>6278029.7300000004</v>
          </cell>
          <cell r="E305">
            <v>6097203.0199999996</v>
          </cell>
          <cell r="F305">
            <v>6018866.8899999997</v>
          </cell>
          <cell r="G305">
            <v>1763077.69</v>
          </cell>
          <cell r="H305">
            <v>914286.28</v>
          </cell>
          <cell r="I305">
            <v>9629290.3699999992</v>
          </cell>
          <cell r="J305">
            <v>21344836.59</v>
          </cell>
          <cell r="K305">
            <v>5995854.0199999996</v>
          </cell>
          <cell r="L305">
            <v>352286.68</v>
          </cell>
          <cell r="M305">
            <v>143080645.48000002</v>
          </cell>
        </row>
        <row r="306">
          <cell r="B306">
            <v>14755913.27</v>
          </cell>
          <cell r="C306">
            <v>2328166.27</v>
          </cell>
          <cell r="D306">
            <v>1527430.15</v>
          </cell>
          <cell r="E306">
            <v>2170655.9500000002</v>
          </cell>
          <cell r="F306">
            <v>1175845.8500000001</v>
          </cell>
          <cell r="G306">
            <v>241892.25</v>
          </cell>
          <cell r="H306">
            <v>1388903.04</v>
          </cell>
          <cell r="I306">
            <v>6718698.0199999996</v>
          </cell>
          <cell r="J306">
            <v>1559743.6</v>
          </cell>
          <cell r="K306">
            <v>241243.01</v>
          </cell>
          <cell r="L306">
            <v>108646.41</v>
          </cell>
          <cell r="M306">
            <v>32217137.82</v>
          </cell>
        </row>
        <row r="307">
          <cell r="B307">
            <v>29368547.920000002</v>
          </cell>
          <cell r="C307">
            <v>187454.12</v>
          </cell>
          <cell r="D307">
            <v>266142.94</v>
          </cell>
          <cell r="E307">
            <v>136664.5</v>
          </cell>
          <cell r="F307">
            <v>31534.3</v>
          </cell>
          <cell r="G307">
            <v>9516.23</v>
          </cell>
          <cell r="H307">
            <v>1113.1400000000001</v>
          </cell>
          <cell r="I307">
            <v>89096.15</v>
          </cell>
          <cell r="J307">
            <v>4219035.6900000004</v>
          </cell>
          <cell r="K307">
            <v>1504641.64</v>
          </cell>
          <cell r="M307">
            <v>35813746.630000003</v>
          </cell>
        </row>
        <row r="308">
          <cell r="B308">
            <v>23932944.169999998</v>
          </cell>
          <cell r="C308">
            <v>14862860.449999999</v>
          </cell>
          <cell r="D308">
            <v>19867612.309999999</v>
          </cell>
          <cell r="E308">
            <v>10309179.269999998</v>
          </cell>
          <cell r="F308">
            <v>19854988.84</v>
          </cell>
          <cell r="G308">
            <v>34003822.989999995</v>
          </cell>
          <cell r="H308">
            <v>13383388.539999999</v>
          </cell>
          <cell r="I308">
            <v>15612274.619999999</v>
          </cell>
          <cell r="J308">
            <v>41309790.230000004</v>
          </cell>
          <cell r="K308">
            <v>26593141.800000001</v>
          </cell>
          <cell r="L308">
            <v>7447950.0300000003</v>
          </cell>
          <cell r="M308">
            <v>227177953.25000003</v>
          </cell>
        </row>
        <row r="309">
          <cell r="B309">
            <v>43524281.810000002</v>
          </cell>
          <cell r="C309">
            <v>552.73</v>
          </cell>
          <cell r="D309">
            <v>1405733.91</v>
          </cell>
          <cell r="E309">
            <v>999625.75</v>
          </cell>
          <cell r="F309">
            <v>171350.53</v>
          </cell>
          <cell r="G309">
            <v>1397488.81</v>
          </cell>
          <cell r="H309">
            <v>250977.55</v>
          </cell>
          <cell r="I309">
            <v>571980.15</v>
          </cell>
          <cell r="J309">
            <v>2266148.34</v>
          </cell>
          <cell r="K309">
            <v>480098.87</v>
          </cell>
          <cell r="L309">
            <v>6289.87</v>
          </cell>
          <cell r="M309">
            <v>51074528.319999993</v>
          </cell>
        </row>
        <row r="310">
          <cell r="B310">
            <v>28410443.739999998</v>
          </cell>
          <cell r="C310">
            <v>396892.81</v>
          </cell>
          <cell r="D310">
            <v>410277.92</v>
          </cell>
          <cell r="E310">
            <v>66437.84</v>
          </cell>
          <cell r="F310">
            <v>180745.96</v>
          </cell>
          <cell r="G310">
            <v>543559.66</v>
          </cell>
          <cell r="H310">
            <v>469215.58</v>
          </cell>
          <cell r="I310">
            <v>2934469.98</v>
          </cell>
          <cell r="J310">
            <v>10011947.469999999</v>
          </cell>
          <cell r="K310">
            <v>286942.94</v>
          </cell>
          <cell r="L310">
            <v>181461.21</v>
          </cell>
          <cell r="M310">
            <v>43892395.109999992</v>
          </cell>
        </row>
        <row r="311">
          <cell r="B311">
            <v>44261856.730000004</v>
          </cell>
          <cell r="M311">
            <v>44261856.730000004</v>
          </cell>
        </row>
        <row r="312">
          <cell r="B312">
            <v>194885942.61000001</v>
          </cell>
          <cell r="M312">
            <v>194885942.61000001</v>
          </cell>
        </row>
        <row r="313">
          <cell r="B313">
            <v>26341320.440000001</v>
          </cell>
          <cell r="M313">
            <v>26341320.440000001</v>
          </cell>
        </row>
        <row r="314">
          <cell r="B314">
            <v>467766804.88</v>
          </cell>
          <cell r="M314">
            <v>467766804.88</v>
          </cell>
        </row>
        <row r="315">
          <cell r="B315">
            <v>754396.04</v>
          </cell>
          <cell r="C315">
            <v>90740.88</v>
          </cell>
          <cell r="D315">
            <v>37163.42</v>
          </cell>
          <cell r="E315">
            <v>302.94</v>
          </cell>
          <cell r="F315">
            <v>823.29</v>
          </cell>
          <cell r="G315">
            <v>40618.910000000003</v>
          </cell>
          <cell r="H315">
            <v>299.73</v>
          </cell>
          <cell r="I315">
            <v>16791.599999999999</v>
          </cell>
          <cell r="J315">
            <v>442848.38</v>
          </cell>
          <cell r="K315">
            <v>2642.86</v>
          </cell>
          <cell r="L315">
            <v>965.81</v>
          </cell>
          <cell r="M315">
            <v>1387593.86</v>
          </cell>
        </row>
        <row r="316">
          <cell r="B316">
            <v>233301384.53999999</v>
          </cell>
          <cell r="M316">
            <v>233301384.53999999</v>
          </cell>
        </row>
        <row r="317">
          <cell r="B317">
            <v>93374312.75999999</v>
          </cell>
          <cell r="M317">
            <v>93374312.75999999</v>
          </cell>
        </row>
        <row r="318">
          <cell r="B318">
            <v>15905702.74</v>
          </cell>
          <cell r="C318">
            <v>1789731.26</v>
          </cell>
          <cell r="D318">
            <v>2945462.34</v>
          </cell>
          <cell r="E318">
            <v>1035373.6</v>
          </cell>
          <cell r="F318">
            <v>1651851.31</v>
          </cell>
          <cell r="G318">
            <v>3423411.98</v>
          </cell>
          <cell r="H318">
            <v>1326339.8600000001</v>
          </cell>
          <cell r="I318">
            <v>1213689.49</v>
          </cell>
          <cell r="J318">
            <v>1987482.46</v>
          </cell>
          <cell r="K318">
            <v>1299253.03</v>
          </cell>
          <cell r="L318">
            <v>527953.61</v>
          </cell>
          <cell r="M318">
            <v>33106251.68</v>
          </cell>
        </row>
        <row r="319">
          <cell r="B319">
            <v>0</v>
          </cell>
          <cell r="M319">
            <v>0</v>
          </cell>
        </row>
        <row r="320">
          <cell r="B320">
            <v>5874668.4000000004</v>
          </cell>
          <cell r="M320">
            <v>5874668.4000000004</v>
          </cell>
        </row>
        <row r="321">
          <cell r="B321">
            <v>2397647.14</v>
          </cell>
          <cell r="M321">
            <v>2397647.14</v>
          </cell>
        </row>
        <row r="322">
          <cell r="B322">
            <v>11641987.32</v>
          </cell>
          <cell r="M322">
            <v>11641987.32</v>
          </cell>
        </row>
        <row r="323">
          <cell r="B323">
            <v>450590.81</v>
          </cell>
          <cell r="C323">
            <v>80220.59</v>
          </cell>
          <cell r="D323">
            <v>46985.29</v>
          </cell>
          <cell r="G323">
            <v>56713</v>
          </cell>
          <cell r="H323">
            <v>920269.49</v>
          </cell>
          <cell r="J323">
            <v>323154.03000000003</v>
          </cell>
          <cell r="L323">
            <v>292858.53999999998</v>
          </cell>
          <cell r="M323">
            <v>2170791.75</v>
          </cell>
        </row>
        <row r="324">
          <cell r="B324">
            <v>42296128.700000003</v>
          </cell>
          <cell r="C324">
            <v>2414155.08</v>
          </cell>
          <cell r="D324">
            <v>6683335.3400000017</v>
          </cell>
          <cell r="E324">
            <v>722908.92</v>
          </cell>
          <cell r="F324">
            <v>1062204.4099999999</v>
          </cell>
          <cell r="G324">
            <v>25132190.170000002</v>
          </cell>
          <cell r="H324">
            <v>4658467.3600000003</v>
          </cell>
          <cell r="I324">
            <v>3622540.2</v>
          </cell>
          <cell r="J324">
            <v>2409627.23</v>
          </cell>
          <cell r="K324">
            <v>2161818.9700000002</v>
          </cell>
          <cell r="L324">
            <v>6852135.8599999994</v>
          </cell>
          <cell r="M324">
            <v>98015512.24000001</v>
          </cell>
        </row>
        <row r="325">
          <cell r="B325">
            <v>14935012.27</v>
          </cell>
          <cell r="C325">
            <v>126278.6</v>
          </cell>
          <cell r="D325">
            <v>2693060.9</v>
          </cell>
          <cell r="E325">
            <v>310616.38</v>
          </cell>
          <cell r="F325">
            <v>245102.83</v>
          </cell>
          <cell r="H325">
            <v>24.89</v>
          </cell>
          <cell r="I325">
            <v>1868765.23</v>
          </cell>
          <cell r="J325">
            <v>1054721.6499999999</v>
          </cell>
          <cell r="K325">
            <v>480881.12</v>
          </cell>
          <cell r="L325">
            <v>3308.82</v>
          </cell>
          <cell r="M325">
            <v>21717772.689999998</v>
          </cell>
        </row>
        <row r="326">
          <cell r="B326">
            <v>40394629.409999996</v>
          </cell>
          <cell r="C326">
            <v>20186420.900000002</v>
          </cell>
          <cell r="D326">
            <v>28973118.960000005</v>
          </cell>
          <cell r="E326">
            <v>12901502.530000001</v>
          </cell>
          <cell r="F326">
            <v>21795511.940000001</v>
          </cell>
          <cell r="G326">
            <v>23389535.550000004</v>
          </cell>
          <cell r="H326">
            <v>19453304.510000002</v>
          </cell>
          <cell r="I326">
            <v>7754703.1699999999</v>
          </cell>
          <cell r="J326">
            <v>38091361.510000005</v>
          </cell>
          <cell r="K326">
            <v>26269628.970000003</v>
          </cell>
          <cell r="L326">
            <v>7280844.3099999996</v>
          </cell>
          <cell r="M326">
            <v>246490561.76000002</v>
          </cell>
        </row>
        <row r="327">
          <cell r="B327">
            <v>23437058.73</v>
          </cell>
          <cell r="C327">
            <v>248747.44</v>
          </cell>
          <cell r="D327">
            <v>286882.78999999998</v>
          </cell>
          <cell r="E327">
            <v>43089.35</v>
          </cell>
          <cell r="F327">
            <v>76920.929999999993</v>
          </cell>
          <cell r="G327">
            <v>270012.87</v>
          </cell>
          <cell r="H327">
            <v>91440.68</v>
          </cell>
          <cell r="I327">
            <v>99452.54</v>
          </cell>
          <cell r="J327">
            <v>291044.47999999998</v>
          </cell>
          <cell r="K327">
            <v>38809.94</v>
          </cell>
          <cell r="L327">
            <v>29505.62</v>
          </cell>
          <cell r="M327">
            <v>24912965.370000005</v>
          </cell>
        </row>
        <row r="328">
          <cell r="B328">
            <v>16319125.73</v>
          </cell>
          <cell r="C328">
            <v>77208.81</v>
          </cell>
          <cell r="D328">
            <v>210838.1</v>
          </cell>
          <cell r="E328">
            <v>37388.14</v>
          </cell>
          <cell r="F328">
            <v>49512.43</v>
          </cell>
          <cell r="G328">
            <v>41781.660000000003</v>
          </cell>
          <cell r="H328">
            <v>7666.88</v>
          </cell>
          <cell r="I328">
            <v>5537.2</v>
          </cell>
          <cell r="J328">
            <v>225877.33</v>
          </cell>
          <cell r="K328">
            <v>132200.31</v>
          </cell>
          <cell r="L328">
            <v>34972.54</v>
          </cell>
          <cell r="M328">
            <v>17142109.129999999</v>
          </cell>
        </row>
        <row r="329">
          <cell r="G329">
            <v>443382.35</v>
          </cell>
          <cell r="M329">
            <v>443382.35</v>
          </cell>
        </row>
        <row r="330">
          <cell r="B330">
            <v>42613559.190000005</v>
          </cell>
          <cell r="M330">
            <v>42613559.190000005</v>
          </cell>
        </row>
        <row r="331">
          <cell r="B331">
            <v>47540190.25</v>
          </cell>
          <cell r="C331">
            <v>4353315.82</v>
          </cell>
          <cell r="D331">
            <v>4874084.74</v>
          </cell>
          <cell r="E331">
            <v>2806991.75</v>
          </cell>
          <cell r="F331">
            <v>3881017.95</v>
          </cell>
          <cell r="G331">
            <v>5360962.07</v>
          </cell>
          <cell r="H331">
            <v>1449214.13</v>
          </cell>
          <cell r="I331">
            <v>7465742.9700000007</v>
          </cell>
          <cell r="J331">
            <v>8902017.0600000005</v>
          </cell>
          <cell r="K331">
            <v>5296133.43</v>
          </cell>
          <cell r="L331">
            <v>909633.98</v>
          </cell>
          <cell r="M331">
            <v>92839304.150000021</v>
          </cell>
        </row>
        <row r="332">
          <cell r="B332">
            <v>29049816.620000001</v>
          </cell>
          <cell r="C332">
            <v>10142266.070000002</v>
          </cell>
          <cell r="D332">
            <v>11740101.050000001</v>
          </cell>
          <cell r="E332">
            <v>5292434.41</v>
          </cell>
          <cell r="F332">
            <v>10553855.32</v>
          </cell>
          <cell r="G332">
            <v>13386364.34</v>
          </cell>
          <cell r="H332">
            <v>6338210.29</v>
          </cell>
          <cell r="I332">
            <v>3155039.78</v>
          </cell>
          <cell r="J332">
            <v>15362206.450000003</v>
          </cell>
          <cell r="K332">
            <v>7376898.0099999998</v>
          </cell>
          <cell r="L332">
            <v>4142813.64</v>
          </cell>
          <cell r="M332">
            <v>116540005.98000002</v>
          </cell>
        </row>
        <row r="333">
          <cell r="B333">
            <v>2889.71</v>
          </cell>
          <cell r="M333">
            <v>2889.71</v>
          </cell>
        </row>
        <row r="334">
          <cell r="B334">
            <v>4346693.4800000004</v>
          </cell>
          <cell r="C334">
            <v>17376.849999999999</v>
          </cell>
          <cell r="D334">
            <v>602878.73</v>
          </cell>
          <cell r="E334">
            <v>146558.10999999999</v>
          </cell>
          <cell r="F334">
            <v>42053.97</v>
          </cell>
          <cell r="G334">
            <v>87096.639999999999</v>
          </cell>
          <cell r="H334">
            <v>56028.43</v>
          </cell>
          <cell r="I334">
            <v>56936.33</v>
          </cell>
          <cell r="J334">
            <v>163280.70000000001</v>
          </cell>
          <cell r="K334">
            <v>29787.62</v>
          </cell>
          <cell r="L334">
            <v>896727.11</v>
          </cell>
          <cell r="M334">
            <v>6445417.9699999997</v>
          </cell>
        </row>
        <row r="335">
          <cell r="B335">
            <v>699989758.9000001</v>
          </cell>
          <cell r="C335">
            <v>13748940.509999998</v>
          </cell>
          <cell r="D335">
            <v>57747966.239999995</v>
          </cell>
          <cell r="E335">
            <v>3242769.64</v>
          </cell>
          <cell r="F335">
            <v>6165257.1999999993</v>
          </cell>
          <cell r="G335">
            <v>6816011.5499999989</v>
          </cell>
          <cell r="H335">
            <v>5837423.3200000003</v>
          </cell>
          <cell r="I335">
            <v>13202004.629999999</v>
          </cell>
          <cell r="J335">
            <v>85302209.62999998</v>
          </cell>
          <cell r="K335">
            <v>8100517.5100000007</v>
          </cell>
          <cell r="L335">
            <v>11089444.369999997</v>
          </cell>
          <cell r="M335">
            <v>911242303.50000012</v>
          </cell>
        </row>
        <row r="336">
          <cell r="B336">
            <v>16274518.08</v>
          </cell>
          <cell r="C336">
            <v>6847.48</v>
          </cell>
          <cell r="D336">
            <v>242284.54</v>
          </cell>
          <cell r="I336">
            <v>0.02</v>
          </cell>
          <cell r="J336">
            <v>631.14</v>
          </cell>
          <cell r="K336">
            <v>93504.89</v>
          </cell>
          <cell r="M336">
            <v>16617786.15</v>
          </cell>
        </row>
        <row r="337">
          <cell r="B337">
            <v>197955142.47</v>
          </cell>
          <cell r="C337">
            <v>2202586.13</v>
          </cell>
          <cell r="D337">
            <v>34191114.690000005</v>
          </cell>
          <cell r="E337">
            <v>2528596.92</v>
          </cell>
          <cell r="F337">
            <v>6527528.5700000003</v>
          </cell>
          <cell r="G337">
            <v>2310639.2599999998</v>
          </cell>
          <cell r="H337">
            <v>466156.92</v>
          </cell>
          <cell r="I337">
            <v>17309827.07</v>
          </cell>
          <cell r="J337">
            <v>7020112.6599999992</v>
          </cell>
          <cell r="K337">
            <v>1575019.26</v>
          </cell>
          <cell r="L337">
            <v>2593279.44</v>
          </cell>
          <cell r="M337">
            <v>274680003.38999993</v>
          </cell>
        </row>
        <row r="338">
          <cell r="B338">
            <v>8873330.0300000012</v>
          </cell>
          <cell r="C338">
            <v>5244346.45</v>
          </cell>
          <cell r="F338">
            <v>569492.35</v>
          </cell>
          <cell r="I338">
            <v>711794.05</v>
          </cell>
          <cell r="J338">
            <v>5553810.9800000004</v>
          </cell>
          <cell r="M338">
            <v>20952773.859999999</v>
          </cell>
        </row>
        <row r="339">
          <cell r="B339">
            <v>53977084.310000002</v>
          </cell>
          <cell r="C339">
            <v>127338.9</v>
          </cell>
          <cell r="D339">
            <v>215294.43</v>
          </cell>
          <cell r="E339">
            <v>7708.42</v>
          </cell>
          <cell r="F339">
            <v>130431.48</v>
          </cell>
          <cell r="G339">
            <v>867524.13</v>
          </cell>
          <cell r="H339">
            <v>5176097.32</v>
          </cell>
          <cell r="I339">
            <v>67171.16</v>
          </cell>
          <cell r="J339">
            <v>1522749.21</v>
          </cell>
          <cell r="K339">
            <v>17722.66</v>
          </cell>
          <cell r="L339">
            <v>132112.28</v>
          </cell>
          <cell r="M339">
            <v>62241234.299999997</v>
          </cell>
        </row>
        <row r="340">
          <cell r="B340">
            <v>0</v>
          </cell>
          <cell r="M340">
            <v>0</v>
          </cell>
        </row>
        <row r="341">
          <cell r="B341">
            <v>5558197.4500000002</v>
          </cell>
          <cell r="M341">
            <v>5558197.4500000002</v>
          </cell>
        </row>
        <row r="342">
          <cell r="B342">
            <v>350734.97</v>
          </cell>
          <cell r="M342">
            <v>350734.97</v>
          </cell>
        </row>
        <row r="343">
          <cell r="B343">
            <v>11311.28</v>
          </cell>
          <cell r="C343">
            <v>4330078.32</v>
          </cell>
          <cell r="F343">
            <v>56203.8</v>
          </cell>
          <cell r="G343">
            <v>3490850.2</v>
          </cell>
          <cell r="H343">
            <v>520533.76000000001</v>
          </cell>
          <cell r="I343">
            <v>2278872.9</v>
          </cell>
          <cell r="J343">
            <v>70726.11</v>
          </cell>
          <cell r="K343">
            <v>710618.32</v>
          </cell>
          <cell r="L343">
            <v>8024981.6600000001</v>
          </cell>
          <cell r="M343">
            <v>19494176.350000001</v>
          </cell>
        </row>
        <row r="344">
          <cell r="B344">
            <v>190625423.53999999</v>
          </cell>
          <cell r="M344">
            <v>190625423.53999999</v>
          </cell>
        </row>
        <row r="345">
          <cell r="B345">
            <v>0</v>
          </cell>
          <cell r="M345">
            <v>0</v>
          </cell>
        </row>
        <row r="346">
          <cell r="B346">
            <v>83035672.730000004</v>
          </cell>
          <cell r="M346">
            <v>83035672.730000004</v>
          </cell>
        </row>
        <row r="347">
          <cell r="B347">
            <v>2849713.94</v>
          </cell>
          <cell r="M347">
            <v>2849713.94</v>
          </cell>
        </row>
        <row r="348">
          <cell r="B348">
            <v>78652109.5</v>
          </cell>
          <cell r="C348">
            <v>895083.09</v>
          </cell>
          <cell r="D348">
            <v>337134.71</v>
          </cell>
          <cell r="E348">
            <v>263797.21999999997</v>
          </cell>
          <cell r="F348">
            <v>4495090.9400000004</v>
          </cell>
          <cell r="G348">
            <v>920231.51</v>
          </cell>
          <cell r="H348">
            <v>40823.339999999997</v>
          </cell>
          <cell r="J348">
            <v>1410741.1</v>
          </cell>
          <cell r="K348">
            <v>1365.37</v>
          </cell>
          <cell r="L348">
            <v>719014.7</v>
          </cell>
          <cell r="M348">
            <v>87735391.480000004</v>
          </cell>
        </row>
        <row r="349">
          <cell r="B349">
            <v>60637329.440000005</v>
          </cell>
          <cell r="M349">
            <v>60637329.440000005</v>
          </cell>
        </row>
        <row r="350">
          <cell r="B350">
            <v>15813479.300000001</v>
          </cell>
          <cell r="M350">
            <v>15813479.300000001</v>
          </cell>
        </row>
        <row r="351">
          <cell r="B351">
            <v>22816773.320000008</v>
          </cell>
          <cell r="M351">
            <v>22816773.320000008</v>
          </cell>
        </row>
        <row r="352">
          <cell r="C352">
            <v>199077171.50999999</v>
          </cell>
          <cell r="D352">
            <v>218696583.31</v>
          </cell>
          <cell r="E352">
            <v>104154881.44</v>
          </cell>
          <cell r="F352">
            <v>140456008.41999999</v>
          </cell>
          <cell r="G352">
            <v>335613840.51999998</v>
          </cell>
          <cell r="H352">
            <v>133435201.72</v>
          </cell>
          <cell r="I352">
            <v>69730262.900000006</v>
          </cell>
          <cell r="J352">
            <v>169090055.00999999</v>
          </cell>
          <cell r="K352">
            <v>69031910.780000001</v>
          </cell>
          <cell r="L352">
            <v>67626518.420000002</v>
          </cell>
          <cell r="M352">
            <v>1506912434.03</v>
          </cell>
        </row>
        <row r="353">
          <cell r="C353">
            <v>23821229.5</v>
          </cell>
          <cell r="D353">
            <v>117720529.50999999</v>
          </cell>
          <cell r="E353">
            <v>13691037.9</v>
          </cell>
          <cell r="F353">
            <v>33653114.730000004</v>
          </cell>
          <cell r="G353">
            <v>836122379.19000006</v>
          </cell>
          <cell r="H353">
            <v>110020469.86</v>
          </cell>
          <cell r="I353">
            <v>44325322.729999997</v>
          </cell>
          <cell r="J353">
            <v>105765594.8</v>
          </cell>
          <cell r="K353">
            <v>31278489.870000001</v>
          </cell>
          <cell r="L353">
            <v>133550154.03999999</v>
          </cell>
          <cell r="M353">
            <v>1449948322.1299999</v>
          </cell>
        </row>
        <row r="354">
          <cell r="B354">
            <v>6927687.9199999999</v>
          </cell>
          <cell r="C354">
            <v>1134139.3400000001</v>
          </cell>
          <cell r="D354">
            <v>1450533.59</v>
          </cell>
          <cell r="E354">
            <v>5587215.7599999998</v>
          </cell>
          <cell r="F354">
            <v>167615.07</v>
          </cell>
          <cell r="G354">
            <v>1084803.2</v>
          </cell>
          <cell r="H354">
            <v>340555.5</v>
          </cell>
          <cell r="I354">
            <v>4173700.03</v>
          </cell>
          <cell r="J354">
            <v>4448521.08</v>
          </cell>
          <cell r="K354">
            <v>1133924.77</v>
          </cell>
          <cell r="L354">
            <v>9439879.5199999996</v>
          </cell>
          <cell r="M354">
            <v>35888575.780000001</v>
          </cell>
        </row>
        <row r="355">
          <cell r="B355">
            <v>21159313.529999997</v>
          </cell>
          <cell r="M355">
            <v>21159313.529999997</v>
          </cell>
        </row>
        <row r="356">
          <cell r="B356">
            <v>630688891.04999995</v>
          </cell>
          <cell r="I356">
            <v>718784.69</v>
          </cell>
          <cell r="M356">
            <v>631407675.74000001</v>
          </cell>
        </row>
        <row r="357">
          <cell r="B357">
            <v>5384152.25</v>
          </cell>
          <cell r="M357">
            <v>5384152.25</v>
          </cell>
        </row>
        <row r="358">
          <cell r="B358">
            <v>599956202.37</v>
          </cell>
          <cell r="M358">
            <v>599956202.37</v>
          </cell>
        </row>
        <row r="359">
          <cell r="B359">
            <v>22849742.359999999</v>
          </cell>
          <cell r="M359">
            <v>22849742.359999999</v>
          </cell>
        </row>
        <row r="360">
          <cell r="C360">
            <v>81664044.890000001</v>
          </cell>
          <cell r="D360">
            <v>292925941.85000002</v>
          </cell>
          <cell r="E360">
            <v>64185052.460000008</v>
          </cell>
          <cell r="F360">
            <v>135362942.65999997</v>
          </cell>
          <cell r="G360">
            <v>1359600468.0699999</v>
          </cell>
          <cell r="H360">
            <v>220119192.56</v>
          </cell>
          <cell r="I360">
            <v>104848661.03999999</v>
          </cell>
          <cell r="J360">
            <v>157051551.73999998</v>
          </cell>
          <cell r="K360">
            <v>45682452.57</v>
          </cell>
          <cell r="L360">
            <v>134049297.72</v>
          </cell>
          <cell r="M360">
            <v>2595489605.5599995</v>
          </cell>
        </row>
        <row r="361">
          <cell r="C361">
            <v>225983395.88</v>
          </cell>
          <cell r="D361">
            <v>226031329.17999998</v>
          </cell>
          <cell r="E361">
            <v>204892938.22</v>
          </cell>
          <cell r="F361">
            <v>213557048.63</v>
          </cell>
          <cell r="G361">
            <v>2270930073.23</v>
          </cell>
          <cell r="H361">
            <v>273514645.60999995</v>
          </cell>
          <cell r="I361">
            <v>135630098.88999999</v>
          </cell>
          <cell r="J361">
            <v>132185254.31</v>
          </cell>
          <cell r="K361">
            <v>33286845.539999999</v>
          </cell>
          <cell r="L361">
            <v>207772738.66999999</v>
          </cell>
          <cell r="M361">
            <v>3923784368.1599998</v>
          </cell>
        </row>
        <row r="362">
          <cell r="C362">
            <v>2283814.7799999998</v>
          </cell>
          <cell r="H362">
            <v>2182595.9300000002</v>
          </cell>
          <cell r="J362">
            <v>5980211.6100000003</v>
          </cell>
          <cell r="M362">
            <v>10446622.32</v>
          </cell>
        </row>
        <row r="363">
          <cell r="I363">
            <v>4069623.37</v>
          </cell>
          <cell r="K363">
            <v>1407795.65</v>
          </cell>
          <cell r="M363">
            <v>5477419.0199999996</v>
          </cell>
        </row>
        <row r="364">
          <cell r="F364">
            <v>1867578.24</v>
          </cell>
          <cell r="M364">
            <v>1867578.24</v>
          </cell>
        </row>
        <row r="365">
          <cell r="B365">
            <v>792746283.09000003</v>
          </cell>
          <cell r="M365">
            <v>792746283.09000003</v>
          </cell>
        </row>
        <row r="366">
          <cell r="B366">
            <v>965036.13</v>
          </cell>
          <cell r="M366">
            <v>965036.13</v>
          </cell>
        </row>
        <row r="367">
          <cell r="C367">
            <v>126300366.02000001</v>
          </cell>
          <cell r="D367">
            <v>142413715.26999998</v>
          </cell>
          <cell r="E367">
            <v>22992800.770000003</v>
          </cell>
          <cell r="F367">
            <v>21700504.75</v>
          </cell>
          <cell r="G367">
            <v>1064358911.5599998</v>
          </cell>
          <cell r="H367">
            <v>118371777.76000001</v>
          </cell>
          <cell r="I367">
            <v>19716656.239999998</v>
          </cell>
          <cell r="J367">
            <v>166828055.81000003</v>
          </cell>
          <cell r="K367">
            <v>102942879.05000001</v>
          </cell>
          <cell r="L367">
            <v>109803668.41</v>
          </cell>
          <cell r="M367">
            <v>1895429335.6399999</v>
          </cell>
        </row>
        <row r="368">
          <cell r="C368">
            <v>1569346.58</v>
          </cell>
          <cell r="D368">
            <v>10619045.050000001</v>
          </cell>
          <cell r="E368">
            <v>4941495.1500000004</v>
          </cell>
          <cell r="F368">
            <v>1318251.1200000001</v>
          </cell>
          <cell r="G368">
            <v>259700243.19</v>
          </cell>
          <cell r="H368">
            <v>1516418.58</v>
          </cell>
          <cell r="J368">
            <v>47882739.770000003</v>
          </cell>
          <cell r="K368">
            <v>10274412.57</v>
          </cell>
          <cell r="L368">
            <v>17312548.829999998</v>
          </cell>
          <cell r="M368">
            <v>355134500.83999991</v>
          </cell>
        </row>
        <row r="369">
          <cell r="G369">
            <v>2854952.4</v>
          </cell>
          <cell r="I369">
            <v>5171814.9800000004</v>
          </cell>
          <cell r="K369">
            <v>9818103.2400000002</v>
          </cell>
          <cell r="M369">
            <v>17844870.619999997</v>
          </cell>
        </row>
        <row r="370">
          <cell r="B370">
            <v>4357158028.9700003</v>
          </cell>
          <cell r="M370">
            <v>4357158028.9700003</v>
          </cell>
        </row>
        <row r="371">
          <cell r="B371">
            <v>3315729873.27</v>
          </cell>
          <cell r="M371">
            <v>3315729873.27</v>
          </cell>
        </row>
        <row r="372">
          <cell r="B372">
            <v>4348862167.6499996</v>
          </cell>
          <cell r="M372">
            <v>4348862167.6499996</v>
          </cell>
        </row>
        <row r="373">
          <cell r="B373">
            <v>1422662433.27</v>
          </cell>
          <cell r="M373">
            <v>1422662433.27</v>
          </cell>
        </row>
        <row r="374">
          <cell r="B374">
            <v>1272241718.1400001</v>
          </cell>
          <cell r="M374">
            <v>1272241718.1400001</v>
          </cell>
        </row>
        <row r="375">
          <cell r="B375">
            <v>9123554.1500000004</v>
          </cell>
          <cell r="M375">
            <v>9123554.1500000004</v>
          </cell>
        </row>
        <row r="376">
          <cell r="G376">
            <v>0</v>
          </cell>
          <cell r="M376">
            <v>0</v>
          </cell>
        </row>
        <row r="377">
          <cell r="B377">
            <v>49856823.890000001</v>
          </cell>
          <cell r="D377">
            <v>263172390.19</v>
          </cell>
          <cell r="G377">
            <v>38433000.270000003</v>
          </cell>
          <cell r="J377">
            <v>93787334.799999997</v>
          </cell>
          <cell r="M377">
            <v>445249549.14999998</v>
          </cell>
        </row>
        <row r="378">
          <cell r="B378">
            <v>982727.96</v>
          </cell>
          <cell r="M378">
            <v>982727.96</v>
          </cell>
        </row>
        <row r="379">
          <cell r="B379">
            <v>6338460.75</v>
          </cell>
          <cell r="M379">
            <v>6338460.75</v>
          </cell>
        </row>
        <row r="380">
          <cell r="B380">
            <v>0</v>
          </cell>
          <cell r="C380">
            <v>3584029648.27</v>
          </cell>
          <cell r="D380">
            <v>3408536458.21</v>
          </cell>
          <cell r="E380">
            <v>2438442982.3599997</v>
          </cell>
          <cell r="F380">
            <v>2657215774.2700005</v>
          </cell>
          <cell r="G380">
            <v>3789357201.1500001</v>
          </cell>
          <cell r="H380">
            <v>2571683764.1999998</v>
          </cell>
          <cell r="I380">
            <v>878515959.53999996</v>
          </cell>
          <cell r="J380">
            <v>3566109381.6199999</v>
          </cell>
          <cell r="K380">
            <v>1722633155.28</v>
          </cell>
          <cell r="L380">
            <v>1302825373.22</v>
          </cell>
          <cell r="M380">
            <v>25919349698.119999</v>
          </cell>
        </row>
        <row r="381">
          <cell r="B381">
            <v>40510584.829999998</v>
          </cell>
          <cell r="C381">
            <v>17700299.449999999</v>
          </cell>
          <cell r="D381">
            <v>71906271.99000001</v>
          </cell>
          <cell r="E381">
            <v>39905540.600000001</v>
          </cell>
          <cell r="F381">
            <v>22200540.100000001</v>
          </cell>
          <cell r="G381">
            <v>19561608.259999998</v>
          </cell>
          <cell r="H381">
            <v>39741727.480000004</v>
          </cell>
          <cell r="I381">
            <v>20592045.210000001</v>
          </cell>
          <cell r="J381">
            <v>51683732.350000001</v>
          </cell>
          <cell r="K381">
            <v>4970697.8899999997</v>
          </cell>
          <cell r="L381">
            <v>31955153.449999999</v>
          </cell>
          <cell r="M381">
            <v>360728201.60999995</v>
          </cell>
        </row>
        <row r="382">
          <cell r="B382">
            <v>5777429.5599999996</v>
          </cell>
          <cell r="M382">
            <v>5777429.5599999996</v>
          </cell>
        </row>
        <row r="383">
          <cell r="B383">
            <v>7743511.9100000001</v>
          </cell>
          <cell r="M383">
            <v>7743511.9100000001</v>
          </cell>
        </row>
        <row r="384">
          <cell r="C384">
            <v>107828.58</v>
          </cell>
          <cell r="D384">
            <v>3544443.67</v>
          </cell>
          <cell r="F384">
            <v>14135.73</v>
          </cell>
          <cell r="G384">
            <v>853433.56</v>
          </cell>
          <cell r="H384">
            <v>444964.7</v>
          </cell>
          <cell r="I384">
            <v>1809329.45</v>
          </cell>
          <cell r="J384">
            <v>555587.72</v>
          </cell>
          <cell r="K384">
            <v>66291.320000000007</v>
          </cell>
          <cell r="L384">
            <v>899141.49</v>
          </cell>
          <cell r="M384">
            <v>8295156.2200000007</v>
          </cell>
        </row>
        <row r="385">
          <cell r="B385">
            <v>123480852.03</v>
          </cell>
          <cell r="C385">
            <v>16617077.35</v>
          </cell>
          <cell r="D385">
            <v>53474774.409999996</v>
          </cell>
          <cell r="E385">
            <v>173471805.47999999</v>
          </cell>
          <cell r="F385">
            <v>84298164.49000001</v>
          </cell>
          <cell r="G385">
            <v>72981404.569999993</v>
          </cell>
          <cell r="H385">
            <v>84607326.49000001</v>
          </cell>
          <cell r="I385">
            <v>14606695.199999999</v>
          </cell>
          <cell r="J385">
            <v>28937897.93</v>
          </cell>
          <cell r="K385">
            <v>9930442.0899999999</v>
          </cell>
          <cell r="L385">
            <v>97281361.960000008</v>
          </cell>
          <cell r="M385">
            <v>759687802</v>
          </cell>
        </row>
        <row r="386">
          <cell r="B386">
            <v>0</v>
          </cell>
          <cell r="M386">
            <v>0</v>
          </cell>
        </row>
        <row r="387">
          <cell r="B387">
            <v>0</v>
          </cell>
          <cell r="M387">
            <v>0</v>
          </cell>
        </row>
        <row r="388">
          <cell r="B388">
            <v>-7.17</v>
          </cell>
          <cell r="M388">
            <v>-7.17</v>
          </cell>
        </row>
        <row r="389">
          <cell r="C389">
            <v>149775100.22</v>
          </cell>
          <cell r="D389">
            <v>155635918.56999999</v>
          </cell>
          <cell r="E389">
            <v>193165981.86000001</v>
          </cell>
          <cell r="F389">
            <v>85003982.599999994</v>
          </cell>
          <cell r="G389">
            <v>485787418.07999998</v>
          </cell>
          <cell r="H389">
            <v>113730997.64</v>
          </cell>
          <cell r="I389">
            <v>76864291.75999999</v>
          </cell>
          <cell r="J389">
            <v>59052529.990000002</v>
          </cell>
          <cell r="K389">
            <v>39314395</v>
          </cell>
          <cell r="L389">
            <v>105627911.8</v>
          </cell>
          <cell r="M389">
            <v>1463958527.52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L390">
            <v>0</v>
          </cell>
          <cell r="M390">
            <v>0</v>
          </cell>
        </row>
        <row r="391">
          <cell r="B391">
            <v>12618158.82</v>
          </cell>
          <cell r="M391">
            <v>12618158.82</v>
          </cell>
        </row>
        <row r="392">
          <cell r="B392">
            <v>0</v>
          </cell>
          <cell r="M392">
            <v>0</v>
          </cell>
        </row>
        <row r="393">
          <cell r="B393">
            <v>55261750.710000001</v>
          </cell>
          <cell r="E393">
            <v>9455882.3499999996</v>
          </cell>
          <cell r="F393">
            <v>6555953.4299999997</v>
          </cell>
          <cell r="G393">
            <v>291305.15000000002</v>
          </cell>
          <cell r="H393">
            <v>0</v>
          </cell>
          <cell r="J393">
            <v>17102941.18</v>
          </cell>
          <cell r="L393">
            <v>367279.41</v>
          </cell>
          <cell r="M393">
            <v>89035112.230000019</v>
          </cell>
        </row>
        <row r="394">
          <cell r="B394">
            <v>3703601961.7399998</v>
          </cell>
          <cell r="C394">
            <v>22386919.079999998</v>
          </cell>
          <cell r="D394">
            <v>62038832.960000001</v>
          </cell>
          <cell r="E394">
            <v>15943423.710000001</v>
          </cell>
          <cell r="F394">
            <v>4500000</v>
          </cell>
          <cell r="H394">
            <v>79047587.900000006</v>
          </cell>
          <cell r="I394">
            <v>1323529.4099999999</v>
          </cell>
          <cell r="J394">
            <v>39616998.68</v>
          </cell>
          <cell r="K394">
            <v>184581533.31999999</v>
          </cell>
          <cell r="L394">
            <v>77006831.039999992</v>
          </cell>
          <cell r="M394">
            <v>4190047617.8399997</v>
          </cell>
        </row>
        <row r="395">
          <cell r="B395">
            <v>1771771853.73</v>
          </cell>
          <cell r="D395">
            <v>38770258.590000004</v>
          </cell>
          <cell r="E395">
            <v>555815.03</v>
          </cell>
          <cell r="F395">
            <v>1764705.88</v>
          </cell>
          <cell r="I395">
            <v>20000000</v>
          </cell>
          <cell r="J395">
            <v>9835603.9199999999</v>
          </cell>
          <cell r="K395">
            <v>21985294.120000001</v>
          </cell>
          <cell r="L395">
            <v>3528267.65</v>
          </cell>
          <cell r="M395">
            <v>1868211798.9200001</v>
          </cell>
        </row>
        <row r="396">
          <cell r="B396">
            <v>1237366454.78</v>
          </cell>
          <cell r="C396">
            <v>10697213.289999999</v>
          </cell>
          <cell r="D396">
            <v>4669296.4400000004</v>
          </cell>
          <cell r="E396">
            <v>71254368.959999993</v>
          </cell>
          <cell r="H396">
            <v>1564473.47</v>
          </cell>
          <cell r="J396">
            <v>8148682.9800000004</v>
          </cell>
          <cell r="K396">
            <v>111272438.98999999</v>
          </cell>
          <cell r="L396">
            <v>2039291.51</v>
          </cell>
          <cell r="M396">
            <v>1447012220.4200001</v>
          </cell>
        </row>
        <row r="397">
          <cell r="B397">
            <v>678975277.10000002</v>
          </cell>
          <cell r="C397">
            <v>12033088.24</v>
          </cell>
          <cell r="D397">
            <v>58801777.810000002</v>
          </cell>
          <cell r="E397">
            <v>123606710.25999999</v>
          </cell>
          <cell r="H397">
            <v>15525102.060000001</v>
          </cell>
          <cell r="I397">
            <v>13970588.24</v>
          </cell>
          <cell r="J397">
            <v>337032764.04000002</v>
          </cell>
          <cell r="K397">
            <v>44584926.469999999</v>
          </cell>
          <cell r="L397">
            <v>136169626.24999997</v>
          </cell>
          <cell r="M397">
            <v>1420699860.47</v>
          </cell>
        </row>
        <row r="398">
          <cell r="B398">
            <v>661764.71</v>
          </cell>
          <cell r="M398">
            <v>661764.71</v>
          </cell>
        </row>
        <row r="399">
          <cell r="B399">
            <v>11680147.060000001</v>
          </cell>
          <cell r="M399">
            <v>11680147.060000001</v>
          </cell>
        </row>
        <row r="400">
          <cell r="B400">
            <v>138927353.56999999</v>
          </cell>
          <cell r="M400">
            <v>138927353.56999999</v>
          </cell>
        </row>
        <row r="401">
          <cell r="B401">
            <v>95441176.469999999</v>
          </cell>
          <cell r="M401">
            <v>95441176.469999999</v>
          </cell>
        </row>
        <row r="402">
          <cell r="B402">
            <v>320496323.52999997</v>
          </cell>
          <cell r="M402">
            <v>320496323.52999997</v>
          </cell>
        </row>
        <row r="403">
          <cell r="B403">
            <v>203420588.24000001</v>
          </cell>
          <cell r="M403">
            <v>203420588.24000001</v>
          </cell>
        </row>
        <row r="404">
          <cell r="B404">
            <v>287143014.70999998</v>
          </cell>
          <cell r="M404">
            <v>287143014.70999998</v>
          </cell>
        </row>
        <row r="405">
          <cell r="B405">
            <v>1865179605.8399999</v>
          </cell>
          <cell r="M405">
            <v>1865179605.8399999</v>
          </cell>
        </row>
        <row r="406">
          <cell r="B406">
            <v>2058823.53</v>
          </cell>
          <cell r="D406">
            <v>57573.53</v>
          </cell>
          <cell r="M406">
            <v>2116397.06</v>
          </cell>
        </row>
        <row r="407">
          <cell r="B407">
            <v>11260467.609999999</v>
          </cell>
          <cell r="G407">
            <v>1323529.4099999999</v>
          </cell>
          <cell r="H407">
            <v>5002756.1500000004</v>
          </cell>
          <cell r="J407">
            <v>4962867.6500000004</v>
          </cell>
          <cell r="M407">
            <v>22549620.82</v>
          </cell>
        </row>
        <row r="408">
          <cell r="B408">
            <v>937188400.48000002</v>
          </cell>
          <cell r="D408">
            <v>287830.88</v>
          </cell>
          <cell r="M408">
            <v>937476231.36000001</v>
          </cell>
        </row>
        <row r="409">
          <cell r="B409">
            <v>224807339.55000001</v>
          </cell>
          <cell r="D409">
            <v>166544117.65000001</v>
          </cell>
          <cell r="F409">
            <v>37886029.409999996</v>
          </cell>
          <cell r="G409">
            <v>74684303.150000006</v>
          </cell>
          <cell r="H409">
            <v>170815626.58000001</v>
          </cell>
          <cell r="J409">
            <v>121886029.41</v>
          </cell>
          <cell r="L409">
            <v>64818682.909999996</v>
          </cell>
          <cell r="M409">
            <v>861442128.65999997</v>
          </cell>
        </row>
        <row r="410">
          <cell r="B410">
            <v>2688814308.1799998</v>
          </cell>
          <cell r="D410">
            <v>27536.76</v>
          </cell>
          <cell r="M410">
            <v>2688841844.9400001</v>
          </cell>
        </row>
        <row r="411">
          <cell r="B411">
            <v>8639614.3200000003</v>
          </cell>
          <cell r="D411">
            <v>2920321.34</v>
          </cell>
          <cell r="F411">
            <v>7691176.4699999997</v>
          </cell>
          <cell r="G411">
            <v>31033421.410000004</v>
          </cell>
          <cell r="H411">
            <v>23999003.68</v>
          </cell>
          <cell r="J411">
            <v>50852941.18</v>
          </cell>
          <cell r="K411">
            <v>34060949.93</v>
          </cell>
          <cell r="L411">
            <v>16272040.57</v>
          </cell>
          <cell r="M411">
            <v>175469468.90000001</v>
          </cell>
        </row>
        <row r="412">
          <cell r="B412">
            <v>2845488970.5900002</v>
          </cell>
          <cell r="M412">
            <v>2845488970.5900002</v>
          </cell>
        </row>
        <row r="413">
          <cell r="B413">
            <v>11985294.119999999</v>
          </cell>
          <cell r="K413">
            <v>99707516.900000006</v>
          </cell>
          <cell r="L413">
            <v>2821691.18</v>
          </cell>
          <cell r="M413">
            <v>114514502.20000002</v>
          </cell>
        </row>
        <row r="414">
          <cell r="B414">
            <v>30230147.059999999</v>
          </cell>
          <cell r="C414">
            <v>330882.34999999998</v>
          </cell>
          <cell r="D414">
            <v>1262904.4099999999</v>
          </cell>
          <cell r="M414">
            <v>31823933.82</v>
          </cell>
        </row>
        <row r="415">
          <cell r="B415">
            <v>51893382.350000001</v>
          </cell>
          <cell r="F415">
            <v>48966911.759999998</v>
          </cell>
          <cell r="H415">
            <v>51335073.530000001</v>
          </cell>
          <cell r="J415">
            <v>143467858.81999999</v>
          </cell>
          <cell r="K415">
            <v>30709191.18</v>
          </cell>
          <cell r="L415">
            <v>65301118.32</v>
          </cell>
          <cell r="M415">
            <v>391673535.95999998</v>
          </cell>
        </row>
        <row r="416">
          <cell r="B416">
            <v>46682708.939999998</v>
          </cell>
          <cell r="M416">
            <v>46682708.939999998</v>
          </cell>
        </row>
        <row r="417">
          <cell r="C417">
            <v>43090615.560000002</v>
          </cell>
          <cell r="D417">
            <v>53857952.120000005</v>
          </cell>
          <cell r="E417">
            <v>87571760.979999989</v>
          </cell>
          <cell r="F417">
            <v>32482520.009999998</v>
          </cell>
          <cell r="G417">
            <v>104624616.04000001</v>
          </cell>
          <cell r="H417">
            <v>15416023.189999999</v>
          </cell>
          <cell r="I417">
            <v>4011710.13</v>
          </cell>
          <cell r="J417">
            <v>88587209.950000003</v>
          </cell>
          <cell r="K417">
            <v>9110179.4100000001</v>
          </cell>
          <cell r="L417">
            <v>4397624.5199999996</v>
          </cell>
          <cell r="M417">
            <v>443150211.90999997</v>
          </cell>
        </row>
        <row r="418">
          <cell r="B418">
            <v>0</v>
          </cell>
          <cell r="C418">
            <v>879498327.82000005</v>
          </cell>
          <cell r="D418">
            <v>1350732362.8300002</v>
          </cell>
          <cell r="E418">
            <v>1242947804.2499998</v>
          </cell>
          <cell r="F418">
            <v>1275206420.05</v>
          </cell>
          <cell r="G418">
            <v>2491471140.4099998</v>
          </cell>
          <cell r="H418">
            <v>1379816858.4700003</v>
          </cell>
          <cell r="I418">
            <v>604082581.08999991</v>
          </cell>
          <cell r="J418">
            <v>802492136.07000005</v>
          </cell>
          <cell r="K418">
            <v>360754029.79999995</v>
          </cell>
          <cell r="L418">
            <v>499555599.87</v>
          </cell>
          <cell r="M418">
            <v>10886557260.66</v>
          </cell>
        </row>
        <row r="419">
          <cell r="B419">
            <v>642175.88</v>
          </cell>
          <cell r="C419">
            <v>742051852.62</v>
          </cell>
          <cell r="D419">
            <v>1043913963.6100001</v>
          </cell>
          <cell r="E419">
            <v>876445884.87999988</v>
          </cell>
          <cell r="F419">
            <v>589598147.65999985</v>
          </cell>
          <cell r="G419">
            <v>1723126916.0800004</v>
          </cell>
          <cell r="H419">
            <v>1181066146.0900002</v>
          </cell>
          <cell r="I419">
            <v>583456594.19999993</v>
          </cell>
          <cell r="J419">
            <v>491725258.16999996</v>
          </cell>
          <cell r="K419">
            <v>325168590.27000004</v>
          </cell>
          <cell r="L419">
            <v>413624102.58999997</v>
          </cell>
          <cell r="M419">
            <v>7970819632.0500002</v>
          </cell>
        </row>
        <row r="420">
          <cell r="C420">
            <v>169358099.76000002</v>
          </cell>
          <cell r="D420">
            <v>332446687.79000002</v>
          </cell>
          <cell r="E420">
            <v>378229441.09000003</v>
          </cell>
          <cell r="F420">
            <v>112464185.75000001</v>
          </cell>
          <cell r="G420">
            <v>928977462.74000001</v>
          </cell>
          <cell r="H420">
            <v>273230029.25</v>
          </cell>
          <cell r="I420">
            <v>288505082.33999997</v>
          </cell>
          <cell r="J420">
            <v>199362585.84999999</v>
          </cell>
          <cell r="K420">
            <v>123730721.82000001</v>
          </cell>
          <cell r="L420">
            <v>263975454.55000001</v>
          </cell>
          <cell r="M420">
            <v>3070279750.9400005</v>
          </cell>
        </row>
        <row r="421">
          <cell r="G421">
            <v>48897.06</v>
          </cell>
          <cell r="M421">
            <v>48897.06</v>
          </cell>
        </row>
        <row r="422">
          <cell r="B422">
            <v>14696.69</v>
          </cell>
          <cell r="C422">
            <v>341911.76</v>
          </cell>
          <cell r="E422">
            <v>10944008.08</v>
          </cell>
          <cell r="G422">
            <v>13051922.75</v>
          </cell>
          <cell r="H422">
            <v>455882.35</v>
          </cell>
          <cell r="I422">
            <v>199326</v>
          </cell>
          <cell r="J422">
            <v>1389705.87</v>
          </cell>
          <cell r="L422">
            <v>2342078.52</v>
          </cell>
          <cell r="M422">
            <v>28739532.020000003</v>
          </cell>
        </row>
        <row r="423">
          <cell r="D423">
            <v>1031597.65</v>
          </cell>
          <cell r="E423">
            <v>1720257.36</v>
          </cell>
          <cell r="F423">
            <v>669117.65</v>
          </cell>
          <cell r="G423">
            <v>13752944.85</v>
          </cell>
          <cell r="M423">
            <v>17173917.509999998</v>
          </cell>
        </row>
        <row r="424">
          <cell r="G424">
            <v>194090257.44999999</v>
          </cell>
          <cell r="M424">
            <v>194090257.44999999</v>
          </cell>
        </row>
        <row r="425">
          <cell r="G425">
            <v>13926470.59</v>
          </cell>
          <cell r="M425">
            <v>13926470.59</v>
          </cell>
        </row>
        <row r="426">
          <cell r="F426">
            <v>60349.26</v>
          </cell>
          <cell r="L426">
            <v>1712638.7</v>
          </cell>
          <cell r="M426">
            <v>1772987.96</v>
          </cell>
        </row>
        <row r="427">
          <cell r="I427">
            <v>2082904.41</v>
          </cell>
          <cell r="M427">
            <v>2082904.41</v>
          </cell>
        </row>
        <row r="428">
          <cell r="D428">
            <v>425922.27</v>
          </cell>
          <cell r="M428">
            <v>425922.27</v>
          </cell>
        </row>
        <row r="429">
          <cell r="B429">
            <v>341880.51</v>
          </cell>
          <cell r="F429">
            <v>238970.59</v>
          </cell>
          <cell r="G429">
            <v>3628744.28</v>
          </cell>
          <cell r="H429">
            <v>2810710.78</v>
          </cell>
          <cell r="J429">
            <v>60661.760000000002</v>
          </cell>
          <cell r="M429">
            <v>7080967.9199999999</v>
          </cell>
        </row>
        <row r="430">
          <cell r="B430">
            <v>39306509.590000004</v>
          </cell>
          <cell r="D430">
            <v>12014394.449999999</v>
          </cell>
          <cell r="E430">
            <v>47731687.829999998</v>
          </cell>
          <cell r="F430">
            <v>11839271.820000002</v>
          </cell>
          <cell r="G430">
            <v>18165567.949999999</v>
          </cell>
          <cell r="H430">
            <v>22594329.759999998</v>
          </cell>
          <cell r="I430">
            <v>1852010.39</v>
          </cell>
          <cell r="J430">
            <v>159926.47</v>
          </cell>
          <cell r="K430">
            <v>4953419.12</v>
          </cell>
          <cell r="L430">
            <v>38854391.280000001</v>
          </cell>
          <cell r="M430">
            <v>197471508.66</v>
          </cell>
        </row>
        <row r="431">
          <cell r="B431">
            <v>109742142.65000001</v>
          </cell>
          <cell r="C431">
            <v>2394919.2999999998</v>
          </cell>
          <cell r="D431">
            <v>18032040.27</v>
          </cell>
          <cell r="E431">
            <v>12173372.439999999</v>
          </cell>
          <cell r="F431">
            <v>31322203.969999995</v>
          </cell>
          <cell r="G431">
            <v>11757432.539999999</v>
          </cell>
          <cell r="H431">
            <v>11075499.65</v>
          </cell>
          <cell r="I431">
            <v>7109537.3099999996</v>
          </cell>
          <cell r="K431">
            <v>175000</v>
          </cell>
          <cell r="L431">
            <v>29453869.350000001</v>
          </cell>
          <cell r="M431">
            <v>233236017.47999999</v>
          </cell>
        </row>
        <row r="432">
          <cell r="B432">
            <v>408478574.67000002</v>
          </cell>
          <cell r="D432">
            <v>7530907.4000000004</v>
          </cell>
          <cell r="E432">
            <v>7940698.540000001</v>
          </cell>
          <cell r="F432">
            <v>5314674.8099999996</v>
          </cell>
          <cell r="G432">
            <v>23650735.300000001</v>
          </cell>
          <cell r="H432">
            <v>123591208.81</v>
          </cell>
          <cell r="I432">
            <v>779411.76</v>
          </cell>
          <cell r="K432">
            <v>831554.47</v>
          </cell>
          <cell r="L432">
            <v>10276631.01</v>
          </cell>
          <cell r="M432">
            <v>588394396.76999998</v>
          </cell>
        </row>
        <row r="433">
          <cell r="B433">
            <v>96415570.25</v>
          </cell>
          <cell r="D433">
            <v>7601996.6900000004</v>
          </cell>
          <cell r="F433">
            <v>80088.19</v>
          </cell>
          <cell r="L433">
            <v>2841917.87</v>
          </cell>
          <cell r="M433">
            <v>106939573</v>
          </cell>
        </row>
        <row r="434">
          <cell r="D434">
            <v>64134520.599999994</v>
          </cell>
          <cell r="J434">
            <v>15239099.359999999</v>
          </cell>
          <cell r="M434">
            <v>79373619.959999993</v>
          </cell>
        </row>
        <row r="435">
          <cell r="B435">
            <v>246412.06</v>
          </cell>
          <cell r="M435">
            <v>246412.06</v>
          </cell>
        </row>
        <row r="436">
          <cell r="B436">
            <v>11783561.630000001</v>
          </cell>
          <cell r="M436">
            <v>11783561.630000001</v>
          </cell>
        </row>
        <row r="437">
          <cell r="B437">
            <v>24969708.800000001</v>
          </cell>
          <cell r="M437">
            <v>24969708.800000001</v>
          </cell>
        </row>
        <row r="438">
          <cell r="B438">
            <v>22990896.530000001</v>
          </cell>
          <cell r="M438">
            <v>22990896.530000001</v>
          </cell>
        </row>
        <row r="439">
          <cell r="B439">
            <v>16977454.43</v>
          </cell>
          <cell r="M439">
            <v>16977454.43</v>
          </cell>
        </row>
        <row r="440">
          <cell r="B440">
            <v>396869.43</v>
          </cell>
          <cell r="M440">
            <v>396869.43</v>
          </cell>
        </row>
        <row r="441">
          <cell r="B441">
            <v>134914773.44</v>
          </cell>
          <cell r="M441">
            <v>134914773.44</v>
          </cell>
        </row>
        <row r="442">
          <cell r="B442">
            <v>1681055474.26</v>
          </cell>
          <cell r="M442">
            <v>1681055474.26</v>
          </cell>
        </row>
        <row r="443">
          <cell r="B443">
            <v>51250000</v>
          </cell>
          <cell r="M443">
            <v>51250000</v>
          </cell>
        </row>
        <row r="444">
          <cell r="B444">
            <v>329581643.38</v>
          </cell>
          <cell r="M444">
            <v>329581643.38</v>
          </cell>
        </row>
        <row r="445">
          <cell r="B445">
            <v>48500000</v>
          </cell>
          <cell r="M445">
            <v>48500000</v>
          </cell>
        </row>
        <row r="446">
          <cell r="B446">
            <v>9621058.8200000003</v>
          </cell>
          <cell r="M446">
            <v>9621058.8200000003</v>
          </cell>
        </row>
        <row r="447">
          <cell r="B447">
            <v>175291823.53</v>
          </cell>
          <cell r="M447">
            <v>175291823.53</v>
          </cell>
        </row>
        <row r="448">
          <cell r="B448">
            <v>198088460.66</v>
          </cell>
          <cell r="M448">
            <v>198088460.66</v>
          </cell>
        </row>
        <row r="449">
          <cell r="B449">
            <v>44102.58</v>
          </cell>
          <cell r="M449">
            <v>44102.58</v>
          </cell>
        </row>
        <row r="450">
          <cell r="B450">
            <v>58412400</v>
          </cell>
          <cell r="M450">
            <v>58412400</v>
          </cell>
        </row>
        <row r="451">
          <cell r="B451">
            <v>4016672222.7600002</v>
          </cell>
          <cell r="M451">
            <v>4016672222.7600002</v>
          </cell>
        </row>
        <row r="452">
          <cell r="B452">
            <v>1972557445.97</v>
          </cell>
          <cell r="M452">
            <v>1972557445.97</v>
          </cell>
        </row>
        <row r="453">
          <cell r="B453">
            <v>221732606.61000001</v>
          </cell>
          <cell r="M453">
            <v>221732606.61000001</v>
          </cell>
        </row>
        <row r="454">
          <cell r="B454">
            <v>19261.759999999998</v>
          </cell>
          <cell r="M454">
            <v>19261.759999999998</v>
          </cell>
        </row>
        <row r="455">
          <cell r="B455">
            <v>137254437.06999999</v>
          </cell>
          <cell r="M455">
            <v>137254437.06999999</v>
          </cell>
        </row>
        <row r="456">
          <cell r="B456">
            <v>89075415.49000001</v>
          </cell>
          <cell r="K456">
            <v>192215.89</v>
          </cell>
          <cell r="M456">
            <v>89267631.38000001</v>
          </cell>
        </row>
        <row r="457">
          <cell r="B457">
            <v>115196115.17999999</v>
          </cell>
          <cell r="M457">
            <v>115196115.17999999</v>
          </cell>
        </row>
        <row r="458">
          <cell r="B458">
            <v>35679582.609999999</v>
          </cell>
          <cell r="M458">
            <v>35679582.609999999</v>
          </cell>
        </row>
        <row r="459">
          <cell r="B459">
            <v>-44102.58</v>
          </cell>
          <cell r="M459">
            <v>-44102.58</v>
          </cell>
        </row>
        <row r="460">
          <cell r="B460">
            <v>50052.29</v>
          </cell>
          <cell r="M460">
            <v>50052.29</v>
          </cell>
        </row>
        <row r="461">
          <cell r="B461">
            <v>234188670.03</v>
          </cell>
          <cell r="D461">
            <v>12247978.91</v>
          </cell>
          <cell r="E461">
            <v>6617647.0599999996</v>
          </cell>
          <cell r="I461">
            <v>1812352.94</v>
          </cell>
          <cell r="J461">
            <v>244159945.97</v>
          </cell>
          <cell r="K461">
            <v>15701662.119999999</v>
          </cell>
          <cell r="L461">
            <v>1716634.26</v>
          </cell>
          <cell r="M461">
            <v>516444891.28999996</v>
          </cell>
        </row>
        <row r="462">
          <cell r="B462">
            <v>186614142.53</v>
          </cell>
          <cell r="C462">
            <v>17677327.440000001</v>
          </cell>
          <cell r="E462">
            <v>82822587.299999997</v>
          </cell>
          <cell r="I462">
            <v>300000</v>
          </cell>
          <cell r="J462">
            <v>58455.88</v>
          </cell>
          <cell r="M462">
            <v>287472513.14999998</v>
          </cell>
        </row>
        <row r="463">
          <cell r="B463">
            <v>129812850.98</v>
          </cell>
          <cell r="M463">
            <v>129812850.98</v>
          </cell>
        </row>
        <row r="464">
          <cell r="B464">
            <v>120232778.01000001</v>
          </cell>
          <cell r="D464">
            <v>0</v>
          </cell>
          <cell r="E464">
            <v>21555337.68</v>
          </cell>
          <cell r="M464">
            <v>141788115.69</v>
          </cell>
        </row>
        <row r="465">
          <cell r="B465">
            <v>104985294.12</v>
          </cell>
          <cell r="C465">
            <v>2025456.6</v>
          </cell>
          <cell r="F465">
            <v>165197.04</v>
          </cell>
          <cell r="M465">
            <v>107175947.76000001</v>
          </cell>
        </row>
        <row r="466">
          <cell r="B466">
            <v>222419697.69999999</v>
          </cell>
          <cell r="M466">
            <v>222419697.69999999</v>
          </cell>
        </row>
        <row r="467">
          <cell r="B467">
            <v>55588235.289999999</v>
          </cell>
          <cell r="M467">
            <v>55588235.289999999</v>
          </cell>
        </row>
        <row r="468">
          <cell r="B468">
            <v>350272058.81999999</v>
          </cell>
          <cell r="M468">
            <v>350272058.81999999</v>
          </cell>
        </row>
        <row r="469">
          <cell r="B469">
            <v>1969800647.0599999</v>
          </cell>
          <cell r="J469">
            <v>364785002.88</v>
          </cell>
          <cell r="M469">
            <v>2334585649.9400001</v>
          </cell>
        </row>
        <row r="470">
          <cell r="C470">
            <v>72065834.670000002</v>
          </cell>
          <cell r="D470">
            <v>152232434.26000002</v>
          </cell>
          <cell r="E470">
            <v>66143974.370000005</v>
          </cell>
          <cell r="F470">
            <v>110853013.09</v>
          </cell>
          <cell r="G470">
            <v>747364371.35000002</v>
          </cell>
          <cell r="H470">
            <v>75544781.50999999</v>
          </cell>
          <cell r="I470">
            <v>84185763.069999993</v>
          </cell>
          <cell r="J470">
            <v>159615064.68000001</v>
          </cell>
          <cell r="K470">
            <v>45057529.609999999</v>
          </cell>
          <cell r="L470">
            <v>95398746.810000002</v>
          </cell>
          <cell r="M470">
            <v>1608461513.4199998</v>
          </cell>
        </row>
        <row r="471">
          <cell r="C471">
            <v>16305500.34</v>
          </cell>
          <cell r="D471">
            <v>122559472.91</v>
          </cell>
          <cell r="E471">
            <v>925770.66</v>
          </cell>
          <cell r="F471">
            <v>23378122.240000002</v>
          </cell>
          <cell r="G471">
            <v>803586260.67999995</v>
          </cell>
          <cell r="H471">
            <v>43425810.060000002</v>
          </cell>
          <cell r="I471">
            <v>16311856.039999999</v>
          </cell>
          <cell r="J471">
            <v>168795184.34</v>
          </cell>
          <cell r="K471">
            <v>34217403.880000003</v>
          </cell>
          <cell r="L471">
            <v>83062718.909999996</v>
          </cell>
          <cell r="M471">
            <v>1312568100.0599999</v>
          </cell>
        </row>
        <row r="472">
          <cell r="I472">
            <v>0</v>
          </cell>
          <cell r="K472">
            <v>240000</v>
          </cell>
          <cell r="M472">
            <v>240000</v>
          </cell>
        </row>
        <row r="473">
          <cell r="B473">
            <v>20796323.530000001</v>
          </cell>
          <cell r="D473">
            <v>6141544.1099999994</v>
          </cell>
          <cell r="G473">
            <v>100104247.06</v>
          </cell>
          <cell r="H473">
            <v>12681544.109999999</v>
          </cell>
          <cell r="K473">
            <v>2595220.59</v>
          </cell>
          <cell r="M473">
            <v>142318879.40000001</v>
          </cell>
        </row>
        <row r="474">
          <cell r="J474">
            <v>11864415.66</v>
          </cell>
          <cell r="M474">
            <v>11864415.66</v>
          </cell>
        </row>
        <row r="475">
          <cell r="B475">
            <v>1617985201.3400002</v>
          </cell>
          <cell r="M475">
            <v>1617985201.3400002</v>
          </cell>
        </row>
        <row r="476">
          <cell r="B476">
            <v>350551470.57999998</v>
          </cell>
          <cell r="M476">
            <v>350551470.57999998</v>
          </cell>
        </row>
        <row r="477">
          <cell r="B477">
            <v>9025330882.3499985</v>
          </cell>
          <cell r="J477">
            <v>375422167.04000002</v>
          </cell>
          <cell r="M477">
            <v>9400753049.3899994</v>
          </cell>
        </row>
        <row r="478">
          <cell r="B478">
            <v>293044374.33999997</v>
          </cell>
          <cell r="M478">
            <v>293044374.33999997</v>
          </cell>
        </row>
        <row r="479">
          <cell r="B479">
            <v>82643825.679999992</v>
          </cell>
          <cell r="C479">
            <v>403312.8</v>
          </cell>
          <cell r="D479">
            <v>11486688.51</v>
          </cell>
          <cell r="E479">
            <v>2297384.7400000002</v>
          </cell>
          <cell r="F479">
            <v>8117316.5999999996</v>
          </cell>
          <cell r="G479">
            <v>362.14</v>
          </cell>
          <cell r="H479">
            <v>5237.87</v>
          </cell>
          <cell r="I479">
            <v>14982218.34</v>
          </cell>
          <cell r="J479">
            <v>5997012.6000000006</v>
          </cell>
          <cell r="K479">
            <v>1507767.29</v>
          </cell>
          <cell r="L479">
            <v>946048.62</v>
          </cell>
          <cell r="M479">
            <v>128387175.19</v>
          </cell>
        </row>
        <row r="480">
          <cell r="B480">
            <v>358805172.38</v>
          </cell>
          <cell r="M480">
            <v>358805172.38</v>
          </cell>
        </row>
        <row r="481">
          <cell r="B481">
            <v>2226146.0499999998</v>
          </cell>
          <cell r="M481">
            <v>2226146.0499999998</v>
          </cell>
        </row>
        <row r="482">
          <cell r="B482">
            <v>132914803.75999999</v>
          </cell>
          <cell r="M482">
            <v>132914803.75999999</v>
          </cell>
        </row>
        <row r="483">
          <cell r="B483">
            <v>4542880.03</v>
          </cell>
          <cell r="M483">
            <v>4542880.03</v>
          </cell>
        </row>
        <row r="484">
          <cell r="B484">
            <v>2630705825.1300001</v>
          </cell>
          <cell r="C484">
            <v>107120286.53</v>
          </cell>
          <cell r="D484">
            <v>249164760.79000005</v>
          </cell>
          <cell r="E484">
            <v>63418901.149999999</v>
          </cell>
          <cell r="F484">
            <v>85509558.890000001</v>
          </cell>
          <cell r="G484">
            <v>79367325.609999999</v>
          </cell>
          <cell r="H484">
            <v>17515156.439999998</v>
          </cell>
          <cell r="I484">
            <v>23120408.239999998</v>
          </cell>
          <cell r="J484">
            <v>296931950.10000002</v>
          </cell>
          <cell r="K484">
            <v>193493859.95999998</v>
          </cell>
          <cell r="L484">
            <v>60088632.979999997</v>
          </cell>
          <cell r="M484">
            <v>3806436665.8200002</v>
          </cell>
        </row>
        <row r="485">
          <cell r="B485">
            <v>20731402.009999994</v>
          </cell>
          <cell r="C485">
            <v>947759.24</v>
          </cell>
          <cell r="D485">
            <v>4909416.29</v>
          </cell>
          <cell r="E485">
            <v>530774.09</v>
          </cell>
          <cell r="F485">
            <v>1359598.63</v>
          </cell>
          <cell r="G485">
            <v>696859.49</v>
          </cell>
          <cell r="H485">
            <v>201150.56</v>
          </cell>
          <cell r="I485">
            <v>336040.21</v>
          </cell>
          <cell r="J485">
            <v>3486597.72</v>
          </cell>
          <cell r="K485">
            <v>3669232.92</v>
          </cell>
          <cell r="L485">
            <v>724977.56</v>
          </cell>
          <cell r="M485">
            <v>37593808.719999991</v>
          </cell>
        </row>
        <row r="486">
          <cell r="B486">
            <v>-27147692745.5</v>
          </cell>
          <cell r="C486">
            <v>-1594010161</v>
          </cell>
          <cell r="D486">
            <v>-2689632078.0200005</v>
          </cell>
          <cell r="E486">
            <v>-2653023016.2399998</v>
          </cell>
          <cell r="F486">
            <v>-2397333065.1599998</v>
          </cell>
          <cell r="G486">
            <v>-1206538256.72</v>
          </cell>
          <cell r="H486">
            <v>-1249140135.28</v>
          </cell>
          <cell r="I486">
            <v>-2810494008.9099998</v>
          </cell>
          <cell r="J486">
            <v>-7268958228.4799995</v>
          </cell>
          <cell r="K486">
            <v>-13268914986.690001</v>
          </cell>
          <cell r="L486">
            <v>-417099781.50999999</v>
          </cell>
          <cell r="M486">
            <v>-62702836463.510002</v>
          </cell>
        </row>
        <row r="487">
          <cell r="B487">
            <v>-17723047497.129997</v>
          </cell>
          <cell r="C487">
            <v>-1033378462.2799999</v>
          </cell>
          <cell r="D487">
            <v>-703997471.08000016</v>
          </cell>
          <cell r="E487">
            <v>-557307337.92999995</v>
          </cell>
          <cell r="F487">
            <v>-752566291.8499999</v>
          </cell>
          <cell r="G487">
            <v>-2638769416.3299994</v>
          </cell>
          <cell r="H487">
            <v>-371271874.30999994</v>
          </cell>
          <cell r="I487">
            <v>-979778138.41999972</v>
          </cell>
          <cell r="J487">
            <v>-2584331677.6199999</v>
          </cell>
          <cell r="K487">
            <v>-738834192.05999994</v>
          </cell>
          <cell r="L487">
            <v>-230847062.90000001</v>
          </cell>
          <cell r="M487">
            <v>-28314129421.909996</v>
          </cell>
        </row>
        <row r="488">
          <cell r="B488">
            <v>-13695054240.139999</v>
          </cell>
          <cell r="M488">
            <v>-13695054240.139999</v>
          </cell>
        </row>
        <row r="489">
          <cell r="B489">
            <v>-1392524669.8</v>
          </cell>
          <cell r="M489">
            <v>-1392524669.8</v>
          </cell>
        </row>
        <row r="490">
          <cell r="B490">
            <v>-1288814.45</v>
          </cell>
          <cell r="M490">
            <v>-1288814.45</v>
          </cell>
        </row>
        <row r="491">
          <cell r="B491">
            <v>-494000</v>
          </cell>
          <cell r="M491">
            <v>-494000</v>
          </cell>
        </row>
        <row r="492">
          <cell r="B492">
            <v>-76562931388.220001</v>
          </cell>
          <cell r="M492">
            <v>-76562931388.220001</v>
          </cell>
        </row>
        <row r="493">
          <cell r="B493">
            <v>-3604038992.23</v>
          </cell>
          <cell r="M493">
            <v>-3604038992.23</v>
          </cell>
        </row>
        <row r="494">
          <cell r="B494">
            <v>-631664264.86000001</v>
          </cell>
          <cell r="M494">
            <v>-631664264.86000001</v>
          </cell>
        </row>
        <row r="495">
          <cell r="B495">
            <v>-923115782.83000004</v>
          </cell>
          <cell r="C495">
            <v>-3224090.1</v>
          </cell>
          <cell r="D495">
            <v>-3868926.79</v>
          </cell>
          <cell r="E495">
            <v>-1934454.06</v>
          </cell>
          <cell r="I495">
            <v>-42421561.490000002</v>
          </cell>
          <cell r="J495">
            <v>-165998.42000000001</v>
          </cell>
          <cell r="M495">
            <v>-974730813.68999994</v>
          </cell>
        </row>
        <row r="496">
          <cell r="B496">
            <v>-8325950.4199999999</v>
          </cell>
          <cell r="M496">
            <v>-8325950.4199999999</v>
          </cell>
        </row>
        <row r="497">
          <cell r="B497">
            <v>-606484087.86000001</v>
          </cell>
          <cell r="C497">
            <v>-8060255.8499999996</v>
          </cell>
          <cell r="D497">
            <v>-88081.99</v>
          </cell>
          <cell r="E497">
            <v>-13099995.890000001</v>
          </cell>
          <cell r="F497">
            <v>-3232156.48</v>
          </cell>
          <cell r="G497">
            <v>0</v>
          </cell>
          <cell r="H497">
            <v>0</v>
          </cell>
          <cell r="I497">
            <v>-29553093.890000001</v>
          </cell>
          <cell r="J497">
            <v>-449847642.85000002</v>
          </cell>
          <cell r="K497">
            <v>-4947230.84</v>
          </cell>
          <cell r="L497">
            <v>0</v>
          </cell>
          <cell r="M497">
            <v>-1115312545.6499999</v>
          </cell>
        </row>
        <row r="498">
          <cell r="B498">
            <v>-59898</v>
          </cell>
          <cell r="M498">
            <v>-59898</v>
          </cell>
        </row>
        <row r="499">
          <cell r="B499">
            <v>-1508962941.3599999</v>
          </cell>
          <cell r="M499">
            <v>-1508962941.3599999</v>
          </cell>
        </row>
        <row r="500">
          <cell r="B500">
            <v>-61014705.880000003</v>
          </cell>
          <cell r="M500">
            <v>-61014705.880000003</v>
          </cell>
        </row>
        <row r="501">
          <cell r="B501">
            <v>-3011715548.8800001</v>
          </cell>
          <cell r="C501">
            <v>-15449776.07</v>
          </cell>
          <cell r="D501">
            <v>-489969897.58999991</v>
          </cell>
          <cell r="E501">
            <v>-293963250.91000003</v>
          </cell>
          <cell r="F501">
            <v>-60239462</v>
          </cell>
          <cell r="I501">
            <v>-711102771.99000001</v>
          </cell>
          <cell r="J501">
            <v>-144524637.48000002</v>
          </cell>
          <cell r="K501">
            <v>-98801291.280000001</v>
          </cell>
          <cell r="L501">
            <v>-428641.42</v>
          </cell>
          <cell r="M501">
            <v>-4826195277.6199999</v>
          </cell>
        </row>
        <row r="502">
          <cell r="B502">
            <v>-1039003225.23</v>
          </cell>
          <cell r="D502">
            <v>-11665213.57</v>
          </cell>
          <cell r="E502">
            <v>-22028616.890000001</v>
          </cell>
          <cell r="F502">
            <v>-11018567.699999999</v>
          </cell>
          <cell r="I502">
            <v>-67812500</v>
          </cell>
          <cell r="L502">
            <v>-67279.41</v>
          </cell>
          <cell r="M502">
            <v>-1151595402.8000002</v>
          </cell>
        </row>
        <row r="503">
          <cell r="B503">
            <v>-4929987736.0999985</v>
          </cell>
          <cell r="C503">
            <v>-269973647.39999998</v>
          </cell>
          <cell r="D503">
            <v>-440776067.63999999</v>
          </cell>
          <cell r="E503">
            <v>-280724063.38999999</v>
          </cell>
          <cell r="F503">
            <v>-288901728.60000002</v>
          </cell>
          <cell r="G503">
            <v>-970700034.74000001</v>
          </cell>
          <cell r="H503">
            <v>-85650946.090000004</v>
          </cell>
          <cell r="I503">
            <v>-1686266261.1800001</v>
          </cell>
          <cell r="J503">
            <v>-548200534.57000005</v>
          </cell>
          <cell r="K503">
            <v>-275863120.62999994</v>
          </cell>
          <cell r="L503">
            <v>-96716323.930000007</v>
          </cell>
          <cell r="M503">
            <v>-9873760464.2699986</v>
          </cell>
        </row>
        <row r="504">
          <cell r="B504">
            <v>-26518518.649999999</v>
          </cell>
          <cell r="C504">
            <v>-2920375.73</v>
          </cell>
          <cell r="D504">
            <v>-17302465.640000001</v>
          </cell>
          <cell r="G504">
            <v>-2693327.39</v>
          </cell>
          <cell r="H504">
            <v>-8597224.2200000007</v>
          </cell>
          <cell r="J504">
            <v>-201922261.19</v>
          </cell>
          <cell r="K504">
            <v>-8867444.9000000004</v>
          </cell>
          <cell r="L504">
            <v>-8109326.7000000002</v>
          </cell>
          <cell r="M504">
            <v>-276930944.41999996</v>
          </cell>
        </row>
        <row r="505">
          <cell r="B505">
            <v>-46214644.490000002</v>
          </cell>
          <cell r="C505">
            <v>-11104895.610000001</v>
          </cell>
          <cell r="D505">
            <v>-107385594.42999999</v>
          </cell>
          <cell r="E505">
            <v>-33402835.48</v>
          </cell>
          <cell r="F505">
            <v>-19186937.489999998</v>
          </cell>
          <cell r="G505">
            <v>-67411101.920000002</v>
          </cell>
          <cell r="H505">
            <v>-23331408.760000002</v>
          </cell>
          <cell r="I505">
            <v>-32067649.079999998</v>
          </cell>
          <cell r="J505">
            <v>-755578327.82000005</v>
          </cell>
          <cell r="K505">
            <v>-8918381.4900000002</v>
          </cell>
          <cell r="L505">
            <v>-16619865.26</v>
          </cell>
          <cell r="M505">
            <v>-1121221641.8299999</v>
          </cell>
        </row>
        <row r="506">
          <cell r="B506">
            <v>27147692745.5</v>
          </cell>
          <cell r="C506">
            <v>1594010161</v>
          </cell>
          <cell r="D506">
            <v>2689632078.0200005</v>
          </cell>
          <cell r="E506">
            <v>2653023016.2399998</v>
          </cell>
          <cell r="F506">
            <v>2397333065.1599998</v>
          </cell>
          <cell r="G506">
            <v>1206538256.72</v>
          </cell>
          <cell r="H506">
            <v>1249140135.28</v>
          </cell>
          <cell r="I506">
            <v>2810494008.9099998</v>
          </cell>
          <cell r="J506">
            <v>7268958228.4799995</v>
          </cell>
          <cell r="K506">
            <v>13268914986.690001</v>
          </cell>
          <cell r="L506">
            <v>417099781.50999999</v>
          </cell>
          <cell r="M506">
            <v>62702836463.510002</v>
          </cell>
        </row>
        <row r="507">
          <cell r="B507">
            <v>17723047497.129997</v>
          </cell>
          <cell r="C507">
            <v>1033378462.28</v>
          </cell>
          <cell r="D507">
            <v>703997471.08000016</v>
          </cell>
          <cell r="E507">
            <v>557307337.92999995</v>
          </cell>
          <cell r="F507">
            <v>752566291.85000002</v>
          </cell>
          <cell r="G507">
            <v>2638769416.3299994</v>
          </cell>
          <cell r="H507">
            <v>371271874.30999994</v>
          </cell>
          <cell r="I507">
            <v>979778138.41999972</v>
          </cell>
          <cell r="J507">
            <v>2584331677.6199999</v>
          </cell>
          <cell r="K507">
            <v>738834192.05999994</v>
          </cell>
          <cell r="L507">
            <v>230847062.90000001</v>
          </cell>
          <cell r="M507">
            <v>28314129421.909996</v>
          </cell>
        </row>
        <row r="508">
          <cell r="B508">
            <v>13695054240.139999</v>
          </cell>
          <cell r="M508">
            <v>13695054240.139999</v>
          </cell>
        </row>
        <row r="509">
          <cell r="B509">
            <v>1392524669.8</v>
          </cell>
          <cell r="M509">
            <v>1392524669.8</v>
          </cell>
        </row>
        <row r="510">
          <cell r="B510">
            <v>1288814.45</v>
          </cell>
          <cell r="M510">
            <v>1288814.45</v>
          </cell>
        </row>
        <row r="511">
          <cell r="B511">
            <v>494000</v>
          </cell>
          <cell r="M511">
            <v>494000</v>
          </cell>
        </row>
        <row r="512">
          <cell r="B512">
            <v>76562931388.220001</v>
          </cell>
          <cell r="M512">
            <v>76562931388.220001</v>
          </cell>
        </row>
        <row r="513">
          <cell r="B513">
            <v>3604038992.23</v>
          </cell>
          <cell r="M513">
            <v>3604038992.23</v>
          </cell>
        </row>
        <row r="514">
          <cell r="B514">
            <v>631664264.86000001</v>
          </cell>
          <cell r="M514">
            <v>631664264.86000001</v>
          </cell>
        </row>
        <row r="515">
          <cell r="B515">
            <v>923115782.83000004</v>
          </cell>
          <cell r="C515">
            <v>3224090.1</v>
          </cell>
          <cell r="D515">
            <v>3868926.79</v>
          </cell>
          <cell r="E515">
            <v>1934454.06</v>
          </cell>
          <cell r="I515">
            <v>42421561.490000002</v>
          </cell>
          <cell r="J515">
            <v>165998.42000000001</v>
          </cell>
          <cell r="M515">
            <v>974730813.68999994</v>
          </cell>
        </row>
        <row r="516">
          <cell r="B516">
            <v>8325950.4199999999</v>
          </cell>
          <cell r="M516">
            <v>8325950.4199999999</v>
          </cell>
        </row>
        <row r="517">
          <cell r="B517">
            <v>606484087.86000001</v>
          </cell>
          <cell r="C517">
            <v>8060255.8499999996</v>
          </cell>
          <cell r="D517">
            <v>88081.99</v>
          </cell>
          <cell r="E517">
            <v>13099995.890000001</v>
          </cell>
          <cell r="F517">
            <v>3232156.48</v>
          </cell>
          <cell r="G517">
            <v>0</v>
          </cell>
          <cell r="H517">
            <v>0</v>
          </cell>
          <cell r="I517">
            <v>29553093.890000001</v>
          </cell>
          <cell r="J517">
            <v>449847642.85000002</v>
          </cell>
          <cell r="K517">
            <v>4947230.84</v>
          </cell>
          <cell r="L517">
            <v>0</v>
          </cell>
          <cell r="M517">
            <v>1115312545.6499999</v>
          </cell>
        </row>
        <row r="518">
          <cell r="B518">
            <v>59898</v>
          </cell>
          <cell r="M518">
            <v>59898</v>
          </cell>
        </row>
        <row r="519">
          <cell r="B519">
            <v>1508962941.3599999</v>
          </cell>
          <cell r="M519">
            <v>1508962941.3599999</v>
          </cell>
        </row>
        <row r="520">
          <cell r="B520">
            <v>61014705.880000003</v>
          </cell>
          <cell r="M520">
            <v>61014705.880000003</v>
          </cell>
        </row>
        <row r="521">
          <cell r="B521">
            <v>3011715548.8800001</v>
          </cell>
          <cell r="C521">
            <v>15449776.07</v>
          </cell>
          <cell r="D521">
            <v>489969897.58999991</v>
          </cell>
          <cell r="E521">
            <v>293963250.91000003</v>
          </cell>
          <cell r="F521">
            <v>60239462</v>
          </cell>
          <cell r="I521">
            <v>711102771.99000001</v>
          </cell>
          <cell r="J521">
            <v>144524637.48000002</v>
          </cell>
          <cell r="K521">
            <v>98801291.280000001</v>
          </cell>
          <cell r="L521">
            <v>428641.42</v>
          </cell>
          <cell r="M521">
            <v>4826195277.6199999</v>
          </cell>
        </row>
        <row r="522">
          <cell r="B522">
            <v>1039003225.23</v>
          </cell>
          <cell r="D522">
            <v>11665213.57</v>
          </cell>
          <cell r="E522">
            <v>22028616.890000001</v>
          </cell>
          <cell r="F522">
            <v>11018567.699999999</v>
          </cell>
          <cell r="I522">
            <v>67812500</v>
          </cell>
          <cell r="L522">
            <v>67279.41</v>
          </cell>
          <cell r="M522">
            <v>1151595402.8000002</v>
          </cell>
        </row>
        <row r="523">
          <cell r="B523">
            <v>4929987736.0999985</v>
          </cell>
          <cell r="C523">
            <v>269973647.39999998</v>
          </cell>
          <cell r="D523">
            <v>440776067.63999999</v>
          </cell>
          <cell r="E523">
            <v>280724063.38999999</v>
          </cell>
          <cell r="F523">
            <v>288901728.60000002</v>
          </cell>
          <cell r="G523">
            <v>970700034.74000001</v>
          </cell>
          <cell r="H523">
            <v>85650946.090000004</v>
          </cell>
          <cell r="I523">
            <v>1686266261.1800001</v>
          </cell>
          <cell r="J523">
            <v>548200534.57000005</v>
          </cell>
          <cell r="K523">
            <v>275863120.62999994</v>
          </cell>
          <cell r="L523">
            <v>96716323.930000007</v>
          </cell>
          <cell r="M523">
            <v>9873760464.2699986</v>
          </cell>
        </row>
        <row r="524">
          <cell r="B524">
            <v>26518518.649999999</v>
          </cell>
          <cell r="C524">
            <v>2920375.73</v>
          </cell>
          <cell r="D524">
            <v>17302465.640000001</v>
          </cell>
          <cell r="G524">
            <v>2693327.39</v>
          </cell>
          <cell r="H524">
            <v>8597224.2200000007</v>
          </cell>
          <cell r="J524">
            <v>201922261.19</v>
          </cell>
          <cell r="K524">
            <v>8867444.9000000004</v>
          </cell>
          <cell r="L524">
            <v>8109326.7000000002</v>
          </cell>
          <cell r="M524">
            <v>276930944.41999996</v>
          </cell>
        </row>
        <row r="525">
          <cell r="B525">
            <v>46214644.490000002</v>
          </cell>
          <cell r="C525">
            <v>11104895.609999999</v>
          </cell>
          <cell r="D525">
            <v>107385594.42999999</v>
          </cell>
          <cell r="E525">
            <v>33402835.48</v>
          </cell>
          <cell r="F525">
            <v>19186937.489999998</v>
          </cell>
          <cell r="G525">
            <v>67411101.920000002</v>
          </cell>
          <cell r="H525">
            <v>23331408.760000002</v>
          </cell>
          <cell r="I525">
            <v>32067649.079999998</v>
          </cell>
          <cell r="J525">
            <v>755578327.82000005</v>
          </cell>
          <cell r="K525">
            <v>8918381.4900000002</v>
          </cell>
          <cell r="L525">
            <v>16619865.26</v>
          </cell>
          <cell r="M525">
            <v>1121221641.8299999</v>
          </cell>
        </row>
        <row r="526">
          <cell r="B526">
            <v>-46463641353.029854</v>
          </cell>
          <cell r="C526">
            <v>3995145293.8700037</v>
          </cell>
          <cell r="D526">
            <v>6202469060.630002</v>
          </cell>
          <cell r="E526">
            <v>4739959805.8899994</v>
          </cell>
          <cell r="F526">
            <v>3614178794.1900005</v>
          </cell>
          <cell r="G526">
            <v>15060934275.310003</v>
          </cell>
          <cell r="H526">
            <v>6300843442.3399992</v>
          </cell>
          <cell r="I526">
            <v>-1637937301.7899992</v>
          </cell>
          <cell r="J526">
            <v>2943300239.3100009</v>
          </cell>
          <cell r="K526">
            <v>1579325404.0100012</v>
          </cell>
          <cell r="L526">
            <v>3517329455.8100004</v>
          </cell>
          <cell r="M526">
            <v>-148092883.45982552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ironspread_data_"/>
      <sheetName val="RocnaTelemetrija"/>
      <sheetName val="Vhodni podatki PY"/>
      <sheetName val="Prispevki"/>
      <sheetName val="Parametri_SIP"/>
      <sheetName val="Stroškovnik"/>
      <sheetName val="VNOS"/>
      <sheetName val="VNOS_SIP"/>
      <sheetName val="OUTPUT_SIP"/>
      <sheetName val="GRAFI SIP"/>
      <sheetName val="Za stranko SIP"/>
      <sheetName val="VNOS_IIP"/>
      <sheetName val="OUTPUT_POG_IIP"/>
      <sheetName val="OUTPUT_Calc_IIP"/>
      <sheetName val="GRAFI IIP"/>
      <sheetName val="Za KAM"/>
      <sheetName val="Nabori_perun"/>
      <sheetName val="Za stranko IIP GOT"/>
      <sheetName val="Za stranko IIP GOT ENG"/>
      <sheetName val="Za stranko IIP POG"/>
      <sheetName val="Za stranko IIP POG ENG"/>
      <sheetName val="CC Obrazec za investicijo"/>
      <sheetName val="V bazo KUPEC"/>
      <sheetName val="IIP"/>
      <sheetName val="IRR_neto"/>
      <sheetName val="input"/>
      <sheetName val="revenue-fin"/>
      <sheetName val="cost"/>
      <sheetName val="model"/>
      <sheetName val="bilance"/>
      <sheetName val="Zavarovanje"/>
      <sheetName val="parametri"/>
      <sheetName val="IRR_bruto"/>
      <sheetName val="KUPEC"/>
      <sheetName val="Urni nivo_SIP"/>
      <sheetName val="Kontrola telemetrije"/>
      <sheetName val="Urni nivo_IIP"/>
      <sheetName val="brez_SE"/>
      <sheetName val="s_SE_SIP"/>
      <sheetName val="s_SE_IIP"/>
      <sheetName val="fakture_brez_SE"/>
      <sheetName val="fakture_s_SE_SIP"/>
      <sheetName val="fakture_s_SE_IIP"/>
      <sheetName val="SIP"/>
      <sheetName val="V bazo SIP"/>
      <sheetName val="V bazo IIP"/>
      <sheetName val="Transpose"/>
      <sheetName val="TO-DO"/>
      <sheetName val="Calc"/>
      <sheetName val="Vzdrževanje"/>
      <sheetName val="ZK GURS"/>
      <sheetName val="povp_BIFO_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">
          <cell r="AH7" t="str">
            <v>OUTPUT_SIP!$X$7:$X$44</v>
          </cell>
        </row>
        <row r="8">
          <cell r="AH8" t="str">
            <v>OUTPUT_SIP!$Y$7:$Y$44</v>
          </cell>
        </row>
        <row r="9">
          <cell r="AH9" t="str">
            <v>OUTPUT_SIP!$Z$7:$Z$44</v>
          </cell>
        </row>
        <row r="10">
          <cell r="AH10" t="str">
            <v>OUTPUT_SIP!$AA$7:$AA$44</v>
          </cell>
        </row>
        <row r="11">
          <cell r="AH11" t="str">
            <v>OUTPUT_SIP!$AB$7:$AB$44</v>
          </cell>
        </row>
        <row r="12">
          <cell r="AH12" t="str">
            <v>OUTPUT_SIP!$AC$7:$AC$44</v>
          </cell>
        </row>
        <row r="13">
          <cell r="AH13" t="str">
            <v>OUTPUT_SIP!$AD$7:$AD$44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B5">
            <v>0.01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DA7A1-9B26-4A3D-8CC1-83E4374ED897}">
  <sheetPr codeName="Sheet3"/>
  <dimension ref="A1:F5"/>
  <sheetViews>
    <sheetView tabSelected="1" zoomScaleNormal="100" workbookViewId="0">
      <selection activeCell="D35" sqref="D35"/>
    </sheetView>
  </sheetViews>
  <sheetFormatPr defaultRowHeight="15" x14ac:dyDescent="0.25"/>
  <cols>
    <col min="1" max="1" width="19.28515625" customWidth="1"/>
    <col min="2" max="2" width="19.85546875" bestFit="1" customWidth="1"/>
    <col min="4" max="4" width="39.7109375" bestFit="1" customWidth="1"/>
    <col min="5" max="6" width="11.7109375" style="87" customWidth="1"/>
  </cols>
  <sheetData>
    <row r="1" spans="1:2" x14ac:dyDescent="0.25">
      <c r="A1" s="5" t="s">
        <v>224</v>
      </c>
      <c r="B1" s="5" t="s">
        <v>26</v>
      </c>
    </row>
    <row r="2" spans="1:2" x14ac:dyDescent="0.25">
      <c r="A2" s="10">
        <v>40</v>
      </c>
      <c r="B2" s="12">
        <v>0</v>
      </c>
    </row>
    <row r="3" spans="1:2" x14ac:dyDescent="0.25">
      <c r="A3" s="10">
        <v>60</v>
      </c>
      <c r="B3" s="12">
        <v>0.2</v>
      </c>
    </row>
    <row r="4" spans="1:2" x14ac:dyDescent="0.25">
      <c r="A4" s="10">
        <v>80</v>
      </c>
      <c r="B4" s="12">
        <v>0.6</v>
      </c>
    </row>
    <row r="5" spans="1:2" x14ac:dyDescent="0.25">
      <c r="A5" s="10">
        <v>100</v>
      </c>
      <c r="B5" s="12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D9E6-A671-4376-BF54-CFC59F8A4F66}">
  <sheetPr codeName="Sheet4"/>
  <dimension ref="A1:B8"/>
  <sheetViews>
    <sheetView zoomScaleNormal="100" workbookViewId="0">
      <selection activeCell="A5" sqref="A5"/>
    </sheetView>
  </sheetViews>
  <sheetFormatPr defaultRowHeight="15" x14ac:dyDescent="0.25"/>
  <cols>
    <col min="1" max="1" width="26.140625" bestFit="1" customWidth="1"/>
    <col min="2" max="4" width="10.7109375" customWidth="1"/>
    <col min="6" max="6" width="35.85546875" bestFit="1" customWidth="1"/>
    <col min="7" max="8" width="11.7109375" customWidth="1"/>
  </cols>
  <sheetData>
    <row r="1" spans="1:2" x14ac:dyDescent="0.25">
      <c r="A1" s="211" t="s">
        <v>322</v>
      </c>
      <c r="B1" s="13">
        <v>1000</v>
      </c>
    </row>
    <row r="2" spans="1:2" x14ac:dyDescent="0.25">
      <c r="A2" s="211"/>
      <c r="B2" s="13">
        <v>1250</v>
      </c>
    </row>
    <row r="3" spans="1:2" x14ac:dyDescent="0.25">
      <c r="A3" s="211"/>
      <c r="B3" s="13">
        <v>1650</v>
      </c>
    </row>
    <row r="8" spans="1:2" ht="15" customHeight="1" x14ac:dyDescent="0.25"/>
  </sheetData>
  <mergeCells count="1">
    <mergeCell ref="A1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E064-F932-49B1-8529-592F4102113B}">
  <sheetPr codeName="Sheet5"/>
  <dimension ref="A1:Z920"/>
  <sheetViews>
    <sheetView zoomScale="55" zoomScaleNormal="55" workbookViewId="0">
      <selection activeCell="E11" sqref="E11"/>
    </sheetView>
  </sheetViews>
  <sheetFormatPr defaultRowHeight="15" x14ac:dyDescent="0.25"/>
  <cols>
    <col min="1" max="1" width="20.42578125" style="19" customWidth="1"/>
    <col min="3" max="3" width="24.5703125" customWidth="1"/>
    <col min="4" max="4" width="22.42578125" bestFit="1" customWidth="1"/>
    <col min="5" max="5" width="11.7109375" customWidth="1"/>
    <col min="6" max="6" width="12.5703125" bestFit="1" customWidth="1"/>
    <col min="7" max="7" width="11" bestFit="1" customWidth="1"/>
    <col min="8" max="8" width="19.28515625" bestFit="1" customWidth="1"/>
    <col min="9" max="9" width="21.5703125" bestFit="1" customWidth="1"/>
    <col min="10" max="10" width="35.7109375" bestFit="1" customWidth="1"/>
    <col min="11" max="11" width="17.42578125" customWidth="1"/>
    <col min="12" max="12" width="25.140625" style="21" hidden="1" customWidth="1"/>
    <col min="13" max="13" width="65.42578125" style="21" hidden="1" customWidth="1"/>
    <col min="14" max="14" width="17" style="21" hidden="1" customWidth="1"/>
    <col min="15" max="15" width="38.5703125" style="21" hidden="1" customWidth="1"/>
    <col min="16" max="16" width="19" style="21" hidden="1" customWidth="1"/>
    <col min="17" max="17" width="26.140625" style="24" hidden="1" customWidth="1"/>
    <col min="18" max="21" width="35.42578125" style="21" hidden="1" customWidth="1"/>
    <col min="22" max="22" width="0" hidden="1" customWidth="1"/>
    <col min="23" max="26" width="0" style="19" hidden="1" customWidth="1"/>
    <col min="27" max="29" width="0" hidden="1" customWidth="1"/>
  </cols>
  <sheetData>
    <row r="1" spans="1:21" x14ac:dyDescent="0.25">
      <c r="A1" s="10" t="s">
        <v>440</v>
      </c>
      <c r="B1" s="5"/>
    </row>
    <row r="2" spans="1:21" x14ac:dyDescent="0.25">
      <c r="A2" s="10" t="s">
        <v>441</v>
      </c>
      <c r="B2" s="191">
        <v>0.85</v>
      </c>
    </row>
    <row r="3" spans="1:21" x14ac:dyDescent="0.25">
      <c r="A3" s="10" t="s">
        <v>413</v>
      </c>
      <c r="B3" s="191">
        <v>0.91</v>
      </c>
    </row>
    <row r="4" spans="1:21" x14ac:dyDescent="0.25">
      <c r="A4" s="10" t="s">
        <v>5</v>
      </c>
      <c r="B4" s="191">
        <v>0.95</v>
      </c>
    </row>
    <row r="5" spans="1:21" x14ac:dyDescent="0.25">
      <c r="A5" s="10" t="s">
        <v>442</v>
      </c>
      <c r="B5" s="193">
        <f>AVERAGE(B2:B4)</f>
        <v>0.90333333333333332</v>
      </c>
    </row>
    <row r="7" spans="1:21" x14ac:dyDescent="0.25">
      <c r="L7" s="20" t="s">
        <v>66</v>
      </c>
      <c r="M7" s="20" t="s">
        <v>39</v>
      </c>
      <c r="N7" s="20"/>
      <c r="O7" s="20" t="s">
        <v>65</v>
      </c>
      <c r="P7" s="20">
        <v>1500</v>
      </c>
      <c r="Q7" s="20">
        <v>69.599999999999994</v>
      </c>
      <c r="R7" s="20" t="str">
        <f t="shared" ref="R7:R11" si="0">IF(Q7&gt;75,Q7,"")</f>
        <v/>
      </c>
      <c r="S7" s="20"/>
      <c r="T7" s="72"/>
      <c r="U7" s="72"/>
    </row>
    <row r="8" spans="1:21" x14ac:dyDescent="0.25">
      <c r="L8" s="20" t="s">
        <v>67</v>
      </c>
      <c r="M8" s="20" t="s">
        <v>39</v>
      </c>
      <c r="N8" s="20"/>
      <c r="O8" s="20" t="s">
        <v>65</v>
      </c>
      <c r="P8" s="20">
        <v>1500</v>
      </c>
      <c r="Q8" s="20">
        <v>71.599999999999994</v>
      </c>
      <c r="R8" s="20" t="str">
        <f t="shared" si="0"/>
        <v/>
      </c>
      <c r="S8" s="20"/>
      <c r="T8" s="72"/>
      <c r="U8" s="72"/>
    </row>
    <row r="9" spans="1:21" x14ac:dyDescent="0.25">
      <c r="L9" s="20" t="s">
        <v>68</v>
      </c>
      <c r="M9" s="20" t="s">
        <v>39</v>
      </c>
      <c r="N9" s="20"/>
      <c r="O9" s="20" t="s">
        <v>69</v>
      </c>
      <c r="P9" s="20">
        <v>1310</v>
      </c>
      <c r="Q9" s="20">
        <v>74.400000000000006</v>
      </c>
      <c r="R9" s="20" t="str">
        <f t="shared" si="0"/>
        <v/>
      </c>
      <c r="S9" s="20"/>
      <c r="T9" s="72"/>
      <c r="U9" s="72"/>
    </row>
    <row r="10" spans="1:21" x14ac:dyDescent="0.25">
      <c r="L10" s="20" t="s">
        <v>70</v>
      </c>
      <c r="M10" s="20" t="s">
        <v>39</v>
      </c>
      <c r="N10" s="20"/>
      <c r="O10" s="20" t="s">
        <v>69</v>
      </c>
      <c r="P10" s="20">
        <v>1330</v>
      </c>
      <c r="Q10" s="20">
        <v>75.099999999999994</v>
      </c>
      <c r="R10" s="20">
        <f t="shared" si="0"/>
        <v>75.099999999999994</v>
      </c>
      <c r="S10" s="20"/>
      <c r="T10" s="72"/>
      <c r="U10" s="72"/>
    </row>
    <row r="11" spans="1:21" x14ac:dyDescent="0.25">
      <c r="L11" s="20" t="s">
        <v>71</v>
      </c>
      <c r="M11" s="20" t="s">
        <v>39</v>
      </c>
      <c r="N11" s="20"/>
      <c r="O11" s="20" t="s">
        <v>69</v>
      </c>
      <c r="P11" s="20">
        <v>1300</v>
      </c>
      <c r="Q11" s="20">
        <v>75.5</v>
      </c>
      <c r="R11" s="20">
        <f t="shared" si="0"/>
        <v>75.5</v>
      </c>
      <c r="S11" s="20"/>
      <c r="T11" s="72"/>
      <c r="U11" s="72"/>
    </row>
    <row r="12" spans="1:21" x14ac:dyDescent="0.25">
      <c r="L12" s="20" t="s">
        <v>72</v>
      </c>
      <c r="M12" s="20" t="s">
        <v>39</v>
      </c>
      <c r="N12" s="20"/>
      <c r="O12" s="20" t="s">
        <v>69</v>
      </c>
      <c r="P12" s="20">
        <v>1300</v>
      </c>
      <c r="Q12" s="20">
        <v>71.3</v>
      </c>
      <c r="R12" s="20" t="str">
        <f>IF(Q12&gt;75,Q12,"")</f>
        <v/>
      </c>
      <c r="S12" s="20"/>
      <c r="T12" s="72"/>
      <c r="U12" s="72"/>
    </row>
    <row r="13" spans="1:21" x14ac:dyDescent="0.25">
      <c r="L13" s="20" t="s">
        <v>73</v>
      </c>
      <c r="M13" s="20" t="s">
        <v>39</v>
      </c>
      <c r="N13" s="20"/>
      <c r="O13" s="20" t="s">
        <v>69</v>
      </c>
      <c r="P13" s="20">
        <v>1310</v>
      </c>
      <c r="Q13" s="20">
        <v>72.5</v>
      </c>
      <c r="R13" s="20" t="str">
        <f t="shared" ref="R13:R76" si="1">IF(Q13&gt;75,Q13,"")</f>
        <v/>
      </c>
      <c r="S13" s="20"/>
      <c r="T13" s="72"/>
      <c r="U13" s="72"/>
    </row>
    <row r="14" spans="1:21" x14ac:dyDescent="0.25">
      <c r="L14" s="20" t="s">
        <v>70</v>
      </c>
      <c r="M14" s="20" t="s">
        <v>39</v>
      </c>
      <c r="N14" s="20"/>
      <c r="O14" s="20" t="s">
        <v>69</v>
      </c>
      <c r="P14" s="20">
        <v>1330</v>
      </c>
      <c r="Q14" s="20">
        <v>72.3</v>
      </c>
      <c r="R14" s="20" t="str">
        <f t="shared" si="1"/>
        <v/>
      </c>
      <c r="S14" s="20"/>
      <c r="T14" s="72"/>
      <c r="U14" s="72"/>
    </row>
    <row r="15" spans="1:21" x14ac:dyDescent="0.25">
      <c r="L15" s="20" t="s">
        <v>74</v>
      </c>
      <c r="M15" s="20" t="s">
        <v>39</v>
      </c>
      <c r="N15" s="20"/>
      <c r="O15" s="20" t="s">
        <v>69</v>
      </c>
      <c r="P15" s="20">
        <v>1310</v>
      </c>
      <c r="Q15" s="20">
        <v>74.2</v>
      </c>
      <c r="R15" s="20" t="str">
        <f t="shared" si="1"/>
        <v/>
      </c>
      <c r="S15" s="20"/>
      <c r="T15" s="72"/>
      <c r="U15" s="72"/>
    </row>
    <row r="16" spans="1:21" x14ac:dyDescent="0.25">
      <c r="L16" s="20" t="s">
        <v>75</v>
      </c>
      <c r="M16" s="20" t="s">
        <v>39</v>
      </c>
      <c r="N16" s="20"/>
      <c r="O16" s="20" t="s">
        <v>69</v>
      </c>
      <c r="P16" s="20">
        <v>1310</v>
      </c>
      <c r="Q16" s="20">
        <v>71.599999999999994</v>
      </c>
      <c r="R16" s="20" t="str">
        <f t="shared" si="1"/>
        <v/>
      </c>
      <c r="S16" s="20"/>
      <c r="T16" s="72"/>
      <c r="U16" s="72"/>
    </row>
    <row r="17" spans="12:21" x14ac:dyDescent="0.25">
      <c r="L17" s="20" t="s">
        <v>76</v>
      </c>
      <c r="M17" s="20" t="s">
        <v>39</v>
      </c>
      <c r="N17" s="20"/>
      <c r="O17" s="20" t="s">
        <v>77</v>
      </c>
      <c r="P17" s="20">
        <v>905</v>
      </c>
      <c r="Q17" s="20">
        <v>74.599999999999994</v>
      </c>
      <c r="R17" s="20" t="str">
        <f t="shared" si="1"/>
        <v/>
      </c>
      <c r="S17" s="20"/>
      <c r="T17" s="72"/>
      <c r="U17" s="72"/>
    </row>
    <row r="18" spans="12:21" x14ac:dyDescent="0.25">
      <c r="L18" s="20" t="s">
        <v>78</v>
      </c>
      <c r="M18" s="20" t="s">
        <v>39</v>
      </c>
      <c r="N18" s="20"/>
      <c r="O18" s="20" t="s">
        <v>69</v>
      </c>
      <c r="P18" s="20">
        <v>1310</v>
      </c>
      <c r="Q18" s="20">
        <v>72.400000000000006</v>
      </c>
      <c r="R18" s="20" t="str">
        <f t="shared" si="1"/>
        <v/>
      </c>
      <c r="S18" s="20"/>
      <c r="T18" s="72"/>
      <c r="U18" s="72"/>
    </row>
    <row r="19" spans="12:21" x14ac:dyDescent="0.25">
      <c r="L19" s="20" t="s">
        <v>79</v>
      </c>
      <c r="M19" s="20" t="s">
        <v>39</v>
      </c>
      <c r="N19" s="20"/>
      <c r="O19" s="20" t="s">
        <v>69</v>
      </c>
      <c r="P19" s="20">
        <v>1310</v>
      </c>
      <c r="Q19" s="20">
        <v>70.599999999999994</v>
      </c>
      <c r="R19" s="20" t="str">
        <f t="shared" si="1"/>
        <v/>
      </c>
      <c r="S19" s="20"/>
      <c r="T19" s="72"/>
      <c r="U19" s="72"/>
    </row>
    <row r="20" spans="12:21" x14ac:dyDescent="0.25">
      <c r="L20" s="20" t="s">
        <v>80</v>
      </c>
      <c r="M20" s="20" t="s">
        <v>39</v>
      </c>
      <c r="N20" s="20"/>
      <c r="O20" s="20" t="s">
        <v>69</v>
      </c>
      <c r="P20" s="20">
        <v>1300</v>
      </c>
      <c r="Q20" s="20">
        <v>71.8</v>
      </c>
      <c r="R20" s="20" t="str">
        <f t="shared" si="1"/>
        <v/>
      </c>
      <c r="S20" s="20"/>
      <c r="T20" s="72"/>
      <c r="U20" s="72"/>
    </row>
    <row r="21" spans="12:21" x14ac:dyDescent="0.25">
      <c r="L21" s="20" t="s">
        <v>81</v>
      </c>
      <c r="M21" s="20"/>
      <c r="N21" s="20"/>
      <c r="O21" s="20"/>
      <c r="P21" s="20"/>
      <c r="Q21" s="20"/>
      <c r="R21" s="20" t="str">
        <f t="shared" si="1"/>
        <v/>
      </c>
      <c r="S21" s="20"/>
      <c r="T21" s="72"/>
      <c r="U21" s="72"/>
    </row>
    <row r="22" spans="12:21" x14ac:dyDescent="0.25">
      <c r="L22" s="20" t="s">
        <v>82</v>
      </c>
      <c r="M22" s="20" t="s">
        <v>35</v>
      </c>
      <c r="N22" s="20"/>
      <c r="O22" s="20" t="s">
        <v>83</v>
      </c>
      <c r="P22" s="20">
        <v>1150</v>
      </c>
      <c r="Q22" s="20"/>
      <c r="R22" s="20" t="str">
        <f t="shared" si="1"/>
        <v/>
      </c>
      <c r="S22" s="20"/>
      <c r="T22" s="72"/>
      <c r="U22" s="72"/>
    </row>
    <row r="23" spans="12:21" x14ac:dyDescent="0.25">
      <c r="L23" s="20" t="s">
        <v>84</v>
      </c>
      <c r="M23" s="20" t="s">
        <v>35</v>
      </c>
      <c r="N23" s="20"/>
      <c r="O23" s="20" t="s">
        <v>83</v>
      </c>
      <c r="P23" s="20">
        <v>1150</v>
      </c>
      <c r="Q23" s="20"/>
      <c r="R23" s="20" t="str">
        <f t="shared" si="1"/>
        <v/>
      </c>
      <c r="S23" s="20"/>
      <c r="T23" s="72"/>
      <c r="U23" s="72"/>
    </row>
    <row r="24" spans="12:21" x14ac:dyDescent="0.25">
      <c r="L24" s="20" t="s">
        <v>85</v>
      </c>
      <c r="M24" s="20" t="s">
        <v>35</v>
      </c>
      <c r="N24" s="20"/>
      <c r="O24" s="20" t="s">
        <v>41</v>
      </c>
      <c r="P24" s="20">
        <v>1670</v>
      </c>
      <c r="Q24" s="20"/>
      <c r="R24" s="20" t="str">
        <f t="shared" si="1"/>
        <v/>
      </c>
      <c r="S24" s="20"/>
      <c r="T24" s="72"/>
      <c r="U24" s="72"/>
    </row>
    <row r="25" spans="12:21" x14ac:dyDescent="0.25">
      <c r="L25" s="20" t="s">
        <v>86</v>
      </c>
      <c r="M25" s="20" t="s">
        <v>35</v>
      </c>
      <c r="N25" s="20"/>
      <c r="O25" s="20" t="s">
        <v>41</v>
      </c>
      <c r="P25" s="20">
        <v>1670</v>
      </c>
      <c r="Q25" s="20"/>
      <c r="R25" s="20" t="str">
        <f t="shared" si="1"/>
        <v/>
      </c>
      <c r="S25" s="20"/>
      <c r="T25" s="72"/>
      <c r="U25" s="72"/>
    </row>
    <row r="26" spans="12:21" x14ac:dyDescent="0.25">
      <c r="L26" s="20" t="s">
        <v>87</v>
      </c>
      <c r="M26" s="20" t="s">
        <v>35</v>
      </c>
      <c r="N26" s="20"/>
      <c r="O26" s="20" t="s">
        <v>41</v>
      </c>
      <c r="P26" s="20">
        <v>1630</v>
      </c>
      <c r="Q26" s="20"/>
      <c r="R26" s="20" t="str">
        <f t="shared" si="1"/>
        <v/>
      </c>
      <c r="S26" s="20"/>
      <c r="T26" s="72"/>
      <c r="U26" s="72"/>
    </row>
    <row r="27" spans="12:21" x14ac:dyDescent="0.25">
      <c r="L27" s="20" t="s">
        <v>88</v>
      </c>
      <c r="M27" s="20" t="s">
        <v>35</v>
      </c>
      <c r="N27" s="20"/>
      <c r="O27" s="20" t="s">
        <v>41</v>
      </c>
      <c r="P27" s="20">
        <v>1630</v>
      </c>
      <c r="Q27" s="20"/>
      <c r="R27" s="20" t="str">
        <f t="shared" si="1"/>
        <v/>
      </c>
      <c r="S27" s="20"/>
      <c r="T27" s="72"/>
      <c r="U27" s="72"/>
    </row>
    <row r="28" spans="12:21" x14ac:dyDescent="0.25">
      <c r="L28" s="20" t="s">
        <v>89</v>
      </c>
      <c r="M28" s="20" t="s">
        <v>39</v>
      </c>
      <c r="N28" s="20"/>
      <c r="O28" s="20" t="s">
        <v>90</v>
      </c>
      <c r="P28" s="20">
        <v>1198</v>
      </c>
      <c r="Q28" s="20">
        <v>83.1</v>
      </c>
      <c r="R28" s="20">
        <f t="shared" si="1"/>
        <v>83.1</v>
      </c>
      <c r="S28" s="20"/>
      <c r="T28" s="72"/>
      <c r="U28" s="72"/>
    </row>
    <row r="29" spans="12:21" x14ac:dyDescent="0.25">
      <c r="L29" s="20" t="s">
        <v>91</v>
      </c>
      <c r="M29" s="20" t="s">
        <v>39</v>
      </c>
      <c r="N29" s="20"/>
      <c r="O29" s="20" t="s">
        <v>92</v>
      </c>
      <c r="P29" s="20">
        <v>605</v>
      </c>
      <c r="Q29" s="20">
        <v>76.5</v>
      </c>
      <c r="R29" s="20">
        <f t="shared" si="1"/>
        <v>76.5</v>
      </c>
      <c r="S29" s="20"/>
      <c r="T29" s="72"/>
      <c r="U29" s="72"/>
    </row>
    <row r="30" spans="12:21" x14ac:dyDescent="0.25">
      <c r="L30" s="20" t="s">
        <v>93</v>
      </c>
      <c r="M30" s="20" t="s">
        <v>39</v>
      </c>
      <c r="N30" s="20"/>
      <c r="O30" s="20" t="s">
        <v>92</v>
      </c>
      <c r="P30" s="20">
        <v>620</v>
      </c>
      <c r="Q30" s="20">
        <v>76.8</v>
      </c>
      <c r="R30" s="20">
        <f t="shared" si="1"/>
        <v>76.8</v>
      </c>
      <c r="S30" s="20"/>
      <c r="T30" s="72"/>
      <c r="U30" s="72"/>
    </row>
    <row r="31" spans="12:21" x14ac:dyDescent="0.25">
      <c r="L31" s="20" t="s">
        <v>94</v>
      </c>
      <c r="M31" s="20" t="s">
        <v>39</v>
      </c>
      <c r="N31" s="20"/>
      <c r="O31" s="20" t="s">
        <v>92</v>
      </c>
      <c r="P31" s="20">
        <v>620</v>
      </c>
      <c r="Q31" s="20">
        <v>80.8</v>
      </c>
      <c r="R31" s="20">
        <f t="shared" si="1"/>
        <v>80.8</v>
      </c>
      <c r="S31" s="20"/>
      <c r="T31" s="72"/>
      <c r="U31" s="72"/>
    </row>
    <row r="32" spans="12:21" x14ac:dyDescent="0.25">
      <c r="L32" s="20" t="s">
        <v>91</v>
      </c>
      <c r="M32" s="20" t="s">
        <v>39</v>
      </c>
      <c r="N32" s="20"/>
      <c r="O32" s="20" t="s">
        <v>92</v>
      </c>
      <c r="P32" s="20">
        <v>595</v>
      </c>
      <c r="Q32" s="20">
        <v>81.099999999999994</v>
      </c>
      <c r="R32" s="20">
        <f t="shared" si="1"/>
        <v>81.099999999999994</v>
      </c>
      <c r="S32" s="20"/>
      <c r="T32" s="72"/>
      <c r="U32" s="72"/>
    </row>
    <row r="33" spans="12:21" x14ac:dyDescent="0.25">
      <c r="L33" s="20" t="s">
        <v>95</v>
      </c>
      <c r="M33" s="20"/>
      <c r="N33" s="20"/>
      <c r="O33" s="20"/>
      <c r="P33" s="20"/>
      <c r="Q33" s="20"/>
      <c r="R33" s="20" t="str">
        <f t="shared" si="1"/>
        <v/>
      </c>
      <c r="S33" s="20"/>
      <c r="T33" s="72"/>
      <c r="U33" s="72"/>
    </row>
    <row r="34" spans="12:21" x14ac:dyDescent="0.25">
      <c r="L34" s="20" t="s">
        <v>96</v>
      </c>
      <c r="M34" s="20" t="s">
        <v>35</v>
      </c>
      <c r="N34" s="20"/>
      <c r="O34" s="20" t="s">
        <v>97</v>
      </c>
      <c r="P34" s="20">
        <v>1538</v>
      </c>
      <c r="Q34" s="20"/>
      <c r="R34" s="20" t="str">
        <f t="shared" si="1"/>
        <v/>
      </c>
      <c r="S34" s="20"/>
      <c r="T34" s="72"/>
      <c r="U34" s="72"/>
    </row>
    <row r="35" spans="12:21" x14ac:dyDescent="0.25">
      <c r="L35" s="20" t="s">
        <v>98</v>
      </c>
      <c r="M35" s="20" t="s">
        <v>35</v>
      </c>
      <c r="N35" s="20"/>
      <c r="O35" s="20" t="s">
        <v>97</v>
      </c>
      <c r="P35" s="20"/>
      <c r="Q35" s="20"/>
      <c r="R35" s="20" t="str">
        <f t="shared" si="1"/>
        <v/>
      </c>
      <c r="S35" s="20"/>
      <c r="T35" s="72"/>
      <c r="U35" s="72"/>
    </row>
    <row r="36" spans="12:21" x14ac:dyDescent="0.25">
      <c r="L36" s="20" t="s">
        <v>99</v>
      </c>
      <c r="M36" s="20" t="s">
        <v>35</v>
      </c>
      <c r="N36" s="20"/>
      <c r="O36" s="20" t="s">
        <v>100</v>
      </c>
      <c r="P36" s="20"/>
      <c r="Q36" s="20"/>
      <c r="R36" s="20" t="str">
        <f t="shared" si="1"/>
        <v/>
      </c>
      <c r="S36" s="20"/>
      <c r="T36" s="72"/>
      <c r="U36" s="72"/>
    </row>
    <row r="37" spans="12:21" x14ac:dyDescent="0.25">
      <c r="L37" s="20" t="s">
        <v>101</v>
      </c>
      <c r="M37" s="20" t="s">
        <v>35</v>
      </c>
      <c r="N37" s="20"/>
      <c r="O37" s="20" t="s">
        <v>100</v>
      </c>
      <c r="P37" s="20"/>
      <c r="Q37" s="20"/>
      <c r="R37" s="20" t="str">
        <f t="shared" si="1"/>
        <v/>
      </c>
      <c r="S37" s="20"/>
      <c r="T37" s="72"/>
      <c r="U37" s="72"/>
    </row>
    <row r="38" spans="12:21" x14ac:dyDescent="0.25">
      <c r="L38" s="20" t="s">
        <v>102</v>
      </c>
      <c r="M38" s="20" t="s">
        <v>35</v>
      </c>
      <c r="N38" s="20"/>
      <c r="O38" s="20" t="s">
        <v>52</v>
      </c>
      <c r="P38" s="20"/>
      <c r="Q38" s="20"/>
      <c r="R38" s="20" t="str">
        <f t="shared" si="1"/>
        <v/>
      </c>
      <c r="S38" s="20"/>
      <c r="T38" s="72"/>
      <c r="U38" s="72"/>
    </row>
    <row r="39" spans="12:21" x14ac:dyDescent="0.25">
      <c r="L39" s="20" t="s">
        <v>103</v>
      </c>
      <c r="M39" s="20" t="s">
        <v>35</v>
      </c>
      <c r="N39" s="20"/>
      <c r="O39" s="20" t="s">
        <v>104</v>
      </c>
      <c r="P39" s="20"/>
      <c r="Q39" s="20"/>
      <c r="R39" s="20" t="str">
        <f t="shared" si="1"/>
        <v/>
      </c>
      <c r="S39" s="20"/>
      <c r="T39" s="72"/>
      <c r="U39" s="72"/>
    </row>
    <row r="40" spans="12:21" x14ac:dyDescent="0.25">
      <c r="L40" s="20" t="s">
        <v>105</v>
      </c>
      <c r="M40" s="20" t="s">
        <v>35</v>
      </c>
      <c r="N40" s="20"/>
      <c r="O40" s="20" t="s">
        <v>104</v>
      </c>
      <c r="P40" s="20"/>
      <c r="Q40" s="20"/>
      <c r="R40" s="20" t="str">
        <f t="shared" si="1"/>
        <v/>
      </c>
      <c r="S40" s="20"/>
      <c r="T40" s="72"/>
      <c r="U40" s="72"/>
    </row>
    <row r="41" spans="12:21" x14ac:dyDescent="0.25">
      <c r="L41" s="20" t="s">
        <v>106</v>
      </c>
      <c r="M41" s="20" t="s">
        <v>35</v>
      </c>
      <c r="N41" s="20"/>
      <c r="O41" s="20" t="s">
        <v>52</v>
      </c>
      <c r="P41" s="20"/>
      <c r="Q41" s="20"/>
      <c r="R41" s="20" t="str">
        <f t="shared" si="1"/>
        <v/>
      </c>
      <c r="S41" s="20"/>
      <c r="T41" s="72"/>
      <c r="U41" s="72"/>
    </row>
    <row r="42" spans="12:21" x14ac:dyDescent="0.25">
      <c r="L42" s="20" t="s">
        <v>107</v>
      </c>
      <c r="M42" s="20" t="s">
        <v>35</v>
      </c>
      <c r="N42" s="20"/>
      <c r="O42" s="20" t="s">
        <v>47</v>
      </c>
      <c r="P42" s="20">
        <v>1117</v>
      </c>
      <c r="Q42" s="20"/>
      <c r="R42" s="20" t="str">
        <f t="shared" si="1"/>
        <v/>
      </c>
      <c r="S42" s="20"/>
      <c r="T42" s="72"/>
      <c r="U42" s="72"/>
    </row>
    <row r="43" spans="12:21" x14ac:dyDescent="0.25">
      <c r="L43" s="20" t="s">
        <v>108</v>
      </c>
      <c r="M43" s="20" t="s">
        <v>35</v>
      </c>
      <c r="N43" s="20"/>
      <c r="O43" s="20" t="s">
        <v>47</v>
      </c>
      <c r="P43" s="20">
        <v>1117</v>
      </c>
      <c r="Q43" s="20">
        <v>99.3</v>
      </c>
      <c r="R43" s="20">
        <f t="shared" si="1"/>
        <v>99.3</v>
      </c>
      <c r="S43" s="20"/>
      <c r="T43" s="72"/>
      <c r="U43" s="72"/>
    </row>
    <row r="44" spans="12:21" x14ac:dyDescent="0.25">
      <c r="L44" s="20" t="s">
        <v>109</v>
      </c>
      <c r="M44" s="20" t="s">
        <v>39</v>
      </c>
      <c r="N44" s="20"/>
      <c r="O44" s="20" t="s">
        <v>110</v>
      </c>
      <c r="P44" s="20">
        <v>1164</v>
      </c>
      <c r="Q44" s="20">
        <v>80.400000000000006</v>
      </c>
      <c r="R44" s="20">
        <f t="shared" si="1"/>
        <v>80.400000000000006</v>
      </c>
      <c r="S44" s="20"/>
      <c r="T44" s="72"/>
      <c r="U44" s="72"/>
    </row>
    <row r="45" spans="12:21" x14ac:dyDescent="0.25">
      <c r="L45" s="20" t="s">
        <v>111</v>
      </c>
      <c r="M45" s="20" t="s">
        <v>39</v>
      </c>
      <c r="N45" s="20"/>
      <c r="O45" s="20" t="s">
        <v>110</v>
      </c>
      <c r="P45" s="20">
        <v>1157</v>
      </c>
      <c r="Q45" s="20">
        <v>89.9</v>
      </c>
      <c r="R45" s="20">
        <f t="shared" si="1"/>
        <v>89.9</v>
      </c>
      <c r="S45" s="20"/>
      <c r="T45" s="72"/>
      <c r="U45" s="72"/>
    </row>
    <row r="46" spans="12:21" x14ac:dyDescent="0.25">
      <c r="L46" s="20" t="s">
        <v>112</v>
      </c>
      <c r="M46" s="20" t="s">
        <v>39</v>
      </c>
      <c r="N46" s="20"/>
      <c r="O46" s="20" t="s">
        <v>113</v>
      </c>
      <c r="P46" s="20">
        <v>1195</v>
      </c>
      <c r="Q46" s="20">
        <v>80.400000000000006</v>
      </c>
      <c r="R46" s="20">
        <f t="shared" si="1"/>
        <v>80.400000000000006</v>
      </c>
      <c r="S46" s="20"/>
      <c r="T46" s="72"/>
      <c r="U46" s="72"/>
    </row>
    <row r="47" spans="12:21" x14ac:dyDescent="0.25">
      <c r="L47" s="20" t="s">
        <v>114</v>
      </c>
      <c r="M47" s="20" t="s">
        <v>39</v>
      </c>
      <c r="N47" s="20"/>
      <c r="O47" s="20" t="s">
        <v>113</v>
      </c>
      <c r="P47" s="20">
        <v>1246</v>
      </c>
      <c r="Q47" s="20">
        <v>87.8</v>
      </c>
      <c r="R47" s="20">
        <f t="shared" si="1"/>
        <v>87.8</v>
      </c>
      <c r="S47" s="20"/>
      <c r="T47" s="72"/>
      <c r="U47" s="72"/>
    </row>
    <row r="48" spans="12:21" x14ac:dyDescent="0.25">
      <c r="L48" s="20" t="s">
        <v>115</v>
      </c>
      <c r="M48" s="20" t="s">
        <v>39</v>
      </c>
      <c r="N48" s="20"/>
      <c r="O48" s="20" t="s">
        <v>113</v>
      </c>
      <c r="P48" s="20">
        <v>1205</v>
      </c>
      <c r="Q48" s="20">
        <v>88.6</v>
      </c>
      <c r="R48" s="20">
        <f t="shared" si="1"/>
        <v>88.6</v>
      </c>
      <c r="S48" s="20"/>
      <c r="T48" s="72"/>
      <c r="U48" s="72"/>
    </row>
    <row r="49" spans="12:21" x14ac:dyDescent="0.25">
      <c r="L49" s="20" t="s">
        <v>116</v>
      </c>
      <c r="M49" s="20" t="s">
        <v>39</v>
      </c>
      <c r="N49" s="20"/>
      <c r="O49" s="20" t="s">
        <v>117</v>
      </c>
      <c r="P49" s="20">
        <v>1134</v>
      </c>
      <c r="Q49" s="20">
        <v>93.4</v>
      </c>
      <c r="R49" s="20">
        <f t="shared" si="1"/>
        <v>93.4</v>
      </c>
      <c r="S49" s="20"/>
      <c r="T49" s="72"/>
      <c r="U49" s="72"/>
    </row>
    <row r="50" spans="12:21" x14ac:dyDescent="0.25">
      <c r="L50" s="20" t="s">
        <v>118</v>
      </c>
      <c r="M50" s="20" t="s">
        <v>39</v>
      </c>
      <c r="N50" s="20"/>
      <c r="O50" s="20" t="s">
        <v>113</v>
      </c>
      <c r="P50" s="20">
        <v>1280</v>
      </c>
      <c r="Q50" s="20">
        <v>85.6</v>
      </c>
      <c r="R50" s="20">
        <f t="shared" si="1"/>
        <v>85.6</v>
      </c>
      <c r="S50" s="20"/>
      <c r="T50" s="72"/>
      <c r="U50" s="72"/>
    </row>
    <row r="51" spans="12:21" x14ac:dyDescent="0.25">
      <c r="L51" s="20" t="s">
        <v>119</v>
      </c>
      <c r="M51" s="20" t="s">
        <v>39</v>
      </c>
      <c r="N51" s="20"/>
      <c r="O51" s="20" t="s">
        <v>113</v>
      </c>
      <c r="P51" s="20">
        <v>1152</v>
      </c>
      <c r="Q51" s="20">
        <v>92.1</v>
      </c>
      <c r="R51" s="20">
        <f t="shared" si="1"/>
        <v>92.1</v>
      </c>
      <c r="S51" s="20"/>
      <c r="T51" s="72"/>
      <c r="U51" s="72"/>
    </row>
    <row r="52" spans="12:21" x14ac:dyDescent="0.25">
      <c r="L52" s="20" t="s">
        <v>120</v>
      </c>
      <c r="M52" s="20" t="s">
        <v>39</v>
      </c>
      <c r="N52" s="20"/>
      <c r="O52" s="20" t="s">
        <v>113</v>
      </c>
      <c r="P52" s="20">
        <v>1160</v>
      </c>
      <c r="Q52" s="20">
        <v>91.4</v>
      </c>
      <c r="R52" s="20">
        <f t="shared" si="1"/>
        <v>91.4</v>
      </c>
      <c r="S52" s="20"/>
      <c r="T52" s="72"/>
      <c r="U52" s="72"/>
    </row>
    <row r="53" spans="12:21" x14ac:dyDescent="0.25">
      <c r="L53" s="20" t="s">
        <v>121</v>
      </c>
      <c r="M53" s="20" t="s">
        <v>39</v>
      </c>
      <c r="N53" s="20"/>
      <c r="O53" s="20" t="s">
        <v>113</v>
      </c>
      <c r="P53" s="20">
        <v>1280</v>
      </c>
      <c r="Q53" s="20">
        <v>85.8</v>
      </c>
      <c r="R53" s="20">
        <f t="shared" si="1"/>
        <v>85.8</v>
      </c>
      <c r="S53" s="20"/>
      <c r="T53" s="72"/>
      <c r="U53" s="72"/>
    </row>
    <row r="54" spans="12:21" x14ac:dyDescent="0.25">
      <c r="L54" s="20" t="s">
        <v>122</v>
      </c>
      <c r="M54" s="20" t="s">
        <v>39</v>
      </c>
      <c r="N54" s="20"/>
      <c r="O54" s="20" t="s">
        <v>123</v>
      </c>
      <c r="P54" s="20">
        <v>1312</v>
      </c>
      <c r="Q54" s="20">
        <v>86.3</v>
      </c>
      <c r="R54" s="20">
        <f t="shared" si="1"/>
        <v>86.3</v>
      </c>
      <c r="S54" s="20"/>
      <c r="T54" s="72"/>
      <c r="U54" s="72"/>
    </row>
    <row r="55" spans="12:21" x14ac:dyDescent="0.25">
      <c r="L55" s="20" t="s">
        <v>124</v>
      </c>
      <c r="M55" s="20" t="s">
        <v>39</v>
      </c>
      <c r="N55" s="20"/>
      <c r="O55" s="20" t="s">
        <v>125</v>
      </c>
      <c r="P55" s="20">
        <v>905</v>
      </c>
      <c r="Q55" s="20">
        <v>87.2</v>
      </c>
      <c r="R55" s="20">
        <f t="shared" si="1"/>
        <v>87.2</v>
      </c>
      <c r="S55" s="20"/>
      <c r="T55" s="72"/>
      <c r="U55" s="72"/>
    </row>
    <row r="56" spans="12:21" x14ac:dyDescent="0.25">
      <c r="L56" s="20" t="s">
        <v>126</v>
      </c>
      <c r="M56" s="20" t="s">
        <v>39</v>
      </c>
      <c r="N56" s="20"/>
      <c r="O56" s="20" t="s">
        <v>127</v>
      </c>
      <c r="P56" s="20">
        <v>1277</v>
      </c>
      <c r="Q56" s="20">
        <v>86</v>
      </c>
      <c r="R56" s="20">
        <f t="shared" si="1"/>
        <v>86</v>
      </c>
      <c r="S56" s="20"/>
      <c r="T56" s="72"/>
      <c r="U56" s="72"/>
    </row>
    <row r="57" spans="12:21" x14ac:dyDescent="0.25">
      <c r="L57" s="20" t="s">
        <v>128</v>
      </c>
      <c r="M57" s="20" t="s">
        <v>39</v>
      </c>
      <c r="N57" s="20"/>
      <c r="O57" s="20" t="s">
        <v>113</v>
      </c>
      <c r="P57" s="20">
        <v>1194</v>
      </c>
      <c r="Q57" s="20">
        <v>90.1</v>
      </c>
      <c r="R57" s="20">
        <f t="shared" si="1"/>
        <v>90.1</v>
      </c>
      <c r="S57" s="20"/>
      <c r="T57" s="72"/>
      <c r="U57" s="72"/>
    </row>
    <row r="58" spans="12:21" x14ac:dyDescent="0.25">
      <c r="L58" s="20" t="s">
        <v>129</v>
      </c>
      <c r="M58" s="20" t="s">
        <v>39</v>
      </c>
      <c r="N58" s="20"/>
      <c r="O58" s="20" t="s">
        <v>130</v>
      </c>
      <c r="P58" s="20">
        <v>1062</v>
      </c>
      <c r="Q58" s="20">
        <v>81</v>
      </c>
      <c r="R58" s="20">
        <f t="shared" si="1"/>
        <v>81</v>
      </c>
      <c r="S58" s="20"/>
      <c r="T58" s="72"/>
      <c r="U58" s="72"/>
    </row>
    <row r="59" spans="12:21" x14ac:dyDescent="0.25">
      <c r="L59" s="20" t="s">
        <v>131</v>
      </c>
      <c r="M59" s="20" t="s">
        <v>39</v>
      </c>
      <c r="N59" s="20"/>
      <c r="O59" s="20" t="s">
        <v>113</v>
      </c>
      <c r="P59" s="20">
        <v>1150</v>
      </c>
      <c r="Q59" s="20">
        <v>92.1</v>
      </c>
      <c r="R59" s="20">
        <f t="shared" si="1"/>
        <v>92.1</v>
      </c>
      <c r="S59" s="20"/>
      <c r="T59" s="72"/>
      <c r="U59" s="72"/>
    </row>
    <row r="60" spans="12:21" x14ac:dyDescent="0.25">
      <c r="L60" s="20" t="s">
        <v>132</v>
      </c>
      <c r="M60" s="20" t="s">
        <v>39</v>
      </c>
      <c r="N60" s="20"/>
      <c r="O60" s="20" t="s">
        <v>113</v>
      </c>
      <c r="P60" s="20">
        <v>1136</v>
      </c>
      <c r="Q60" s="20">
        <v>91.3</v>
      </c>
      <c r="R60" s="20">
        <f t="shared" si="1"/>
        <v>91.3</v>
      </c>
      <c r="S60" s="20"/>
      <c r="T60" s="72"/>
      <c r="U60" s="72"/>
    </row>
    <row r="61" spans="12:21" x14ac:dyDescent="0.25">
      <c r="L61" s="20" t="s">
        <v>133</v>
      </c>
      <c r="M61" s="20" t="s">
        <v>39</v>
      </c>
      <c r="N61" s="20"/>
      <c r="O61" s="20" t="s">
        <v>134</v>
      </c>
      <c r="P61" s="20">
        <v>964</v>
      </c>
      <c r="Q61" s="20">
        <v>89.9</v>
      </c>
      <c r="R61" s="20">
        <f t="shared" si="1"/>
        <v>89.9</v>
      </c>
      <c r="S61" s="20"/>
      <c r="T61" s="72"/>
      <c r="U61" s="72"/>
    </row>
    <row r="62" spans="12:21" x14ac:dyDescent="0.25">
      <c r="L62" s="20" t="s">
        <v>135</v>
      </c>
      <c r="M62" s="20"/>
      <c r="N62" s="20"/>
      <c r="O62" s="20"/>
      <c r="P62" s="20"/>
      <c r="Q62" s="20"/>
      <c r="R62" s="20" t="str">
        <f t="shared" si="1"/>
        <v/>
      </c>
      <c r="S62" s="20"/>
      <c r="T62" s="72"/>
      <c r="U62" s="72"/>
    </row>
    <row r="63" spans="12:21" x14ac:dyDescent="0.25">
      <c r="L63" s="20" t="s">
        <v>136</v>
      </c>
      <c r="M63" s="20" t="s">
        <v>35</v>
      </c>
      <c r="N63" s="20"/>
      <c r="O63" s="20" t="s">
        <v>137</v>
      </c>
      <c r="P63" s="20">
        <v>1400</v>
      </c>
      <c r="Q63" s="20"/>
      <c r="R63" s="20" t="str">
        <f t="shared" si="1"/>
        <v/>
      </c>
      <c r="S63" s="20"/>
      <c r="T63" s="72"/>
      <c r="U63" s="72"/>
    </row>
    <row r="64" spans="12:21" x14ac:dyDescent="0.25">
      <c r="L64" s="20" t="s">
        <v>138</v>
      </c>
      <c r="M64" s="20" t="s">
        <v>35</v>
      </c>
      <c r="N64" s="20"/>
      <c r="O64" s="20" t="s">
        <v>137</v>
      </c>
      <c r="P64" s="20">
        <v>1400</v>
      </c>
      <c r="Q64" s="20"/>
      <c r="R64" s="20" t="str">
        <f t="shared" si="1"/>
        <v/>
      </c>
      <c r="S64" s="20"/>
      <c r="T64" s="72"/>
      <c r="U64" s="72"/>
    </row>
    <row r="65" spans="12:21" x14ac:dyDescent="0.25">
      <c r="L65" s="20" t="s">
        <v>139</v>
      </c>
      <c r="M65" s="20" t="s">
        <v>35</v>
      </c>
      <c r="N65" s="20"/>
      <c r="O65" s="20" t="s">
        <v>137</v>
      </c>
      <c r="P65" s="20">
        <v>1340</v>
      </c>
      <c r="Q65" s="20"/>
      <c r="R65" s="20" t="str">
        <f t="shared" si="1"/>
        <v/>
      </c>
      <c r="S65" s="20"/>
      <c r="T65" s="72"/>
      <c r="U65" s="72"/>
    </row>
    <row r="66" spans="12:21" x14ac:dyDescent="0.25">
      <c r="L66" s="20" t="s">
        <v>140</v>
      </c>
      <c r="M66" s="20" t="s">
        <v>35</v>
      </c>
      <c r="N66" s="20"/>
      <c r="O66" s="20" t="s">
        <v>137</v>
      </c>
      <c r="P66" s="20">
        <v>1414</v>
      </c>
      <c r="Q66" s="20">
        <v>99.5</v>
      </c>
      <c r="R66" s="20">
        <f t="shared" si="1"/>
        <v>99.5</v>
      </c>
      <c r="S66" s="20"/>
      <c r="T66" s="72"/>
      <c r="U66" s="72"/>
    </row>
    <row r="67" spans="12:21" x14ac:dyDescent="0.25">
      <c r="L67" s="20" t="s">
        <v>141</v>
      </c>
      <c r="M67" s="20" t="s">
        <v>35</v>
      </c>
      <c r="N67" s="20"/>
      <c r="O67" s="20" t="s">
        <v>137</v>
      </c>
      <c r="P67" s="20">
        <v>1418</v>
      </c>
      <c r="Q67" s="20">
        <v>83.9</v>
      </c>
      <c r="R67" s="20">
        <f t="shared" si="1"/>
        <v>83.9</v>
      </c>
      <c r="S67" s="20"/>
      <c r="T67" s="72"/>
      <c r="U67" s="72"/>
    </row>
    <row r="68" spans="12:21" x14ac:dyDescent="0.25">
      <c r="L68" s="20" t="s">
        <v>142</v>
      </c>
      <c r="M68" s="20" t="s">
        <v>35</v>
      </c>
      <c r="N68" s="20"/>
      <c r="O68" s="20" t="s">
        <v>137</v>
      </c>
      <c r="P68" s="20">
        <v>1416</v>
      </c>
      <c r="Q68" s="20">
        <v>79.2</v>
      </c>
      <c r="R68" s="20">
        <f t="shared" si="1"/>
        <v>79.2</v>
      </c>
      <c r="S68" s="20"/>
      <c r="T68" s="72"/>
      <c r="U68" s="72"/>
    </row>
    <row r="69" spans="12:21" x14ac:dyDescent="0.25">
      <c r="L69" s="20" t="s">
        <v>143</v>
      </c>
      <c r="M69" s="20" t="s">
        <v>39</v>
      </c>
      <c r="N69" s="20"/>
      <c r="O69" s="20" t="s">
        <v>144</v>
      </c>
      <c r="P69" s="20">
        <v>993</v>
      </c>
      <c r="Q69" s="20">
        <v>85.4</v>
      </c>
      <c r="R69" s="20">
        <f t="shared" si="1"/>
        <v>85.4</v>
      </c>
      <c r="S69" s="20"/>
      <c r="T69" s="72"/>
      <c r="U69" s="72"/>
    </row>
    <row r="70" spans="12:21" x14ac:dyDescent="0.25">
      <c r="L70" s="20" t="s">
        <v>145</v>
      </c>
      <c r="M70" s="20" t="s">
        <v>39</v>
      </c>
      <c r="N70" s="20"/>
      <c r="O70" s="20" t="s">
        <v>144</v>
      </c>
      <c r="P70" s="20">
        <v>996</v>
      </c>
      <c r="Q70" s="20">
        <v>83.7</v>
      </c>
      <c r="R70" s="20">
        <f t="shared" si="1"/>
        <v>83.7</v>
      </c>
      <c r="S70" s="20"/>
      <c r="T70" s="72"/>
      <c r="U70" s="72"/>
    </row>
    <row r="71" spans="12:21" x14ac:dyDescent="0.25">
      <c r="L71" s="20" t="s">
        <v>146</v>
      </c>
      <c r="M71" s="20" t="s">
        <v>39</v>
      </c>
      <c r="N71" s="20"/>
      <c r="O71" s="20" t="s">
        <v>144</v>
      </c>
      <c r="P71" s="20">
        <v>997</v>
      </c>
      <c r="Q71" s="20">
        <v>82.9</v>
      </c>
      <c r="R71" s="20">
        <f t="shared" si="1"/>
        <v>82.9</v>
      </c>
      <c r="S71" s="20"/>
      <c r="T71" s="72"/>
      <c r="U71" s="72"/>
    </row>
    <row r="72" spans="12:21" x14ac:dyDescent="0.25">
      <c r="L72" s="20" t="s">
        <v>147</v>
      </c>
      <c r="M72" s="20" t="s">
        <v>39</v>
      </c>
      <c r="N72" s="20"/>
      <c r="O72" s="20" t="s">
        <v>144</v>
      </c>
      <c r="P72" s="20">
        <v>996</v>
      </c>
      <c r="Q72" s="20">
        <v>76.099999999999994</v>
      </c>
      <c r="R72" s="20">
        <f t="shared" si="1"/>
        <v>76.099999999999994</v>
      </c>
      <c r="S72" s="20"/>
      <c r="T72" s="72"/>
      <c r="U72" s="72"/>
    </row>
    <row r="73" spans="12:21" x14ac:dyDescent="0.25">
      <c r="L73" s="20" t="s">
        <v>148</v>
      </c>
      <c r="M73" s="20" t="s">
        <v>39</v>
      </c>
      <c r="N73" s="20"/>
      <c r="O73" s="20" t="s">
        <v>144</v>
      </c>
      <c r="P73" s="20">
        <v>997</v>
      </c>
      <c r="Q73" s="20">
        <v>88.6</v>
      </c>
      <c r="R73" s="20">
        <f t="shared" si="1"/>
        <v>88.6</v>
      </c>
      <c r="S73" s="20"/>
      <c r="T73" s="72"/>
      <c r="U73" s="72"/>
    </row>
    <row r="74" spans="12:21" x14ac:dyDescent="0.25">
      <c r="L74" s="20" t="s">
        <v>149</v>
      </c>
      <c r="M74" s="20" t="s">
        <v>39</v>
      </c>
      <c r="N74" s="20"/>
      <c r="O74" s="20" t="s">
        <v>144</v>
      </c>
      <c r="P74" s="20">
        <v>998</v>
      </c>
      <c r="Q74" s="20">
        <v>88.2</v>
      </c>
      <c r="R74" s="20">
        <f t="shared" si="1"/>
        <v>88.2</v>
      </c>
      <c r="S74" s="20"/>
      <c r="T74" s="72"/>
      <c r="U74" s="72"/>
    </row>
    <row r="75" spans="12:21" x14ac:dyDescent="0.25">
      <c r="L75" s="20" t="s">
        <v>150</v>
      </c>
      <c r="M75" s="20" t="s">
        <v>39</v>
      </c>
      <c r="N75" s="20"/>
      <c r="O75" s="20" t="s">
        <v>144</v>
      </c>
      <c r="P75" s="20">
        <v>993</v>
      </c>
      <c r="Q75" s="20">
        <v>85.1</v>
      </c>
      <c r="R75" s="20">
        <f t="shared" si="1"/>
        <v>85.1</v>
      </c>
      <c r="S75" s="20"/>
      <c r="T75" s="72"/>
      <c r="U75" s="72"/>
    </row>
    <row r="76" spans="12:21" x14ac:dyDescent="0.25">
      <c r="L76" s="20" t="s">
        <v>151</v>
      </c>
      <c r="M76" s="20" t="s">
        <v>39</v>
      </c>
      <c r="N76" s="20"/>
      <c r="O76" s="20" t="s">
        <v>144</v>
      </c>
      <c r="P76" s="20">
        <v>992</v>
      </c>
      <c r="Q76" s="20">
        <v>79.2</v>
      </c>
      <c r="R76" s="20">
        <f t="shared" si="1"/>
        <v>79.2</v>
      </c>
      <c r="S76" s="20"/>
      <c r="T76" s="72"/>
      <c r="U76" s="72"/>
    </row>
    <row r="77" spans="12:21" x14ac:dyDescent="0.25">
      <c r="L77" s="20" t="s">
        <v>152</v>
      </c>
      <c r="M77" s="20" t="s">
        <v>39</v>
      </c>
      <c r="N77" s="20"/>
      <c r="O77" s="20" t="s">
        <v>51</v>
      </c>
      <c r="P77" s="20">
        <v>567</v>
      </c>
      <c r="Q77" s="20">
        <v>92.3</v>
      </c>
      <c r="R77" s="20">
        <f t="shared" ref="R77:R129" si="2">IF(Q77&gt;75,Q77,"")</f>
        <v>92.3</v>
      </c>
      <c r="S77" s="20"/>
      <c r="T77" s="72"/>
      <c r="U77" s="72"/>
    </row>
    <row r="78" spans="12:21" x14ac:dyDescent="0.25">
      <c r="L78" s="20" t="s">
        <v>153</v>
      </c>
      <c r="M78" s="20" t="s">
        <v>39</v>
      </c>
      <c r="N78" s="20"/>
      <c r="O78" s="20" t="s">
        <v>144</v>
      </c>
      <c r="P78" s="20">
        <v>999</v>
      </c>
      <c r="Q78" s="20">
        <v>81.5</v>
      </c>
      <c r="R78" s="20">
        <f t="shared" si="2"/>
        <v>81.5</v>
      </c>
      <c r="S78" s="20"/>
      <c r="T78" s="72"/>
      <c r="U78" s="72"/>
    </row>
    <row r="79" spans="12:21" x14ac:dyDescent="0.25">
      <c r="L79" s="20" t="s">
        <v>154</v>
      </c>
      <c r="M79" s="20" t="s">
        <v>39</v>
      </c>
      <c r="N79" s="20"/>
      <c r="O79" s="20" t="s">
        <v>51</v>
      </c>
      <c r="P79" s="20">
        <v>601</v>
      </c>
      <c r="Q79" s="20">
        <v>86.9</v>
      </c>
      <c r="R79" s="20">
        <f t="shared" si="2"/>
        <v>86.9</v>
      </c>
      <c r="S79" s="20"/>
      <c r="T79" s="72"/>
      <c r="U79" s="72"/>
    </row>
    <row r="80" spans="12:21" x14ac:dyDescent="0.25">
      <c r="L80" s="20" t="s">
        <v>153</v>
      </c>
      <c r="M80" s="20" t="s">
        <v>39</v>
      </c>
      <c r="N80" s="20"/>
      <c r="O80" s="20" t="s">
        <v>144</v>
      </c>
      <c r="P80" s="20">
        <v>997</v>
      </c>
      <c r="Q80" s="20">
        <v>85.2</v>
      </c>
      <c r="R80" s="20">
        <f t="shared" si="2"/>
        <v>85.2</v>
      </c>
      <c r="S80" s="20"/>
      <c r="T80" s="72"/>
      <c r="U80" s="72"/>
    </row>
    <row r="81" spans="12:21" x14ac:dyDescent="0.25">
      <c r="L81" s="20" t="s">
        <v>155</v>
      </c>
      <c r="M81" s="20" t="s">
        <v>39</v>
      </c>
      <c r="N81" s="20"/>
      <c r="O81" s="20" t="s">
        <v>51</v>
      </c>
      <c r="P81" s="20">
        <v>576</v>
      </c>
      <c r="Q81" s="20">
        <v>89.5</v>
      </c>
      <c r="R81" s="20">
        <f t="shared" si="2"/>
        <v>89.5</v>
      </c>
      <c r="S81" s="20"/>
      <c r="T81" s="72"/>
      <c r="U81" s="72"/>
    </row>
    <row r="82" spans="12:21" x14ac:dyDescent="0.25">
      <c r="L82" s="20" t="s">
        <v>156</v>
      </c>
      <c r="M82" s="20" t="s">
        <v>39</v>
      </c>
      <c r="N82" s="20"/>
      <c r="O82" s="20" t="s">
        <v>144</v>
      </c>
      <c r="P82" s="20">
        <v>970</v>
      </c>
      <c r="Q82" s="20">
        <v>72.599999999999994</v>
      </c>
      <c r="R82" s="20" t="str">
        <f t="shared" si="2"/>
        <v/>
      </c>
      <c r="S82" s="20"/>
      <c r="T82" s="72"/>
      <c r="U82" s="72"/>
    </row>
    <row r="83" spans="12:21" x14ac:dyDescent="0.25">
      <c r="L83" s="20" t="s">
        <v>157</v>
      </c>
      <c r="M83" s="20" t="s">
        <v>39</v>
      </c>
      <c r="N83" s="20"/>
      <c r="O83" s="20" t="s">
        <v>144</v>
      </c>
      <c r="P83" s="20">
        <v>970</v>
      </c>
      <c r="Q83" s="20">
        <v>79.7</v>
      </c>
      <c r="R83" s="20">
        <f t="shared" si="2"/>
        <v>79.7</v>
      </c>
      <c r="S83" s="20"/>
      <c r="T83" s="72"/>
      <c r="U83" s="72"/>
    </row>
    <row r="84" spans="12:21" x14ac:dyDescent="0.25">
      <c r="L84" s="20" t="s">
        <v>158</v>
      </c>
      <c r="M84" s="20" t="s">
        <v>39</v>
      </c>
      <c r="N84" s="20"/>
      <c r="O84" s="20" t="s">
        <v>159</v>
      </c>
      <c r="P84" s="20">
        <v>967</v>
      </c>
      <c r="Q84" s="20">
        <v>87</v>
      </c>
      <c r="R84" s="20">
        <f t="shared" si="2"/>
        <v>87</v>
      </c>
      <c r="S84" s="20"/>
      <c r="T84" s="72"/>
      <c r="U84" s="72"/>
    </row>
    <row r="85" spans="12:21" x14ac:dyDescent="0.25">
      <c r="L85" s="20" t="s">
        <v>160</v>
      </c>
      <c r="M85" s="20" t="s">
        <v>39</v>
      </c>
      <c r="N85" s="20"/>
      <c r="O85" s="20" t="s">
        <v>159</v>
      </c>
      <c r="P85" s="20">
        <v>966</v>
      </c>
      <c r="Q85" s="20">
        <v>85.5</v>
      </c>
      <c r="R85" s="20">
        <f t="shared" si="2"/>
        <v>85.5</v>
      </c>
      <c r="S85" s="20"/>
      <c r="T85" s="72"/>
      <c r="U85" s="72"/>
    </row>
    <row r="86" spans="12:21" x14ac:dyDescent="0.25">
      <c r="L86" s="20" t="s">
        <v>161</v>
      </c>
      <c r="M86" s="20"/>
      <c r="N86" s="20"/>
      <c r="O86" s="20"/>
      <c r="P86" s="20"/>
      <c r="Q86" s="20"/>
      <c r="R86" s="20" t="str">
        <f t="shared" si="2"/>
        <v/>
      </c>
      <c r="S86" s="20"/>
      <c r="T86" s="72"/>
      <c r="U86" s="72"/>
    </row>
    <row r="87" spans="12:21" x14ac:dyDescent="0.25">
      <c r="L87" s="20" t="s">
        <v>162</v>
      </c>
      <c r="M87" s="20" t="s">
        <v>163</v>
      </c>
      <c r="N87" s="20"/>
      <c r="O87" s="20" t="s">
        <v>164</v>
      </c>
      <c r="P87" s="20">
        <v>1538</v>
      </c>
      <c r="Q87" s="20"/>
      <c r="R87" s="20" t="str">
        <f t="shared" si="2"/>
        <v/>
      </c>
      <c r="S87" s="20"/>
      <c r="T87" s="72"/>
      <c r="U87" s="72"/>
    </row>
    <row r="88" spans="12:21" x14ac:dyDescent="0.25">
      <c r="L88" s="20" t="s">
        <v>165</v>
      </c>
      <c r="M88" s="20" t="s">
        <v>163</v>
      </c>
      <c r="N88" s="20"/>
      <c r="O88" s="20" t="s">
        <v>164</v>
      </c>
      <c r="P88" s="20">
        <v>1538</v>
      </c>
      <c r="Q88" s="20"/>
      <c r="R88" s="20" t="str">
        <f t="shared" si="2"/>
        <v/>
      </c>
      <c r="S88" s="20"/>
      <c r="T88" s="72"/>
      <c r="U88" s="72"/>
    </row>
    <row r="89" spans="12:21" x14ac:dyDescent="0.25">
      <c r="L89" s="20" t="s">
        <v>166</v>
      </c>
      <c r="M89" s="20" t="s">
        <v>163</v>
      </c>
      <c r="N89" s="20"/>
      <c r="O89" s="20" t="s">
        <v>167</v>
      </c>
      <c r="P89" s="20">
        <v>1373</v>
      </c>
      <c r="Q89" s="20"/>
      <c r="R89" s="20" t="str">
        <f t="shared" si="2"/>
        <v/>
      </c>
      <c r="S89" s="20"/>
      <c r="T89" s="72"/>
      <c r="U89" s="72"/>
    </row>
    <row r="90" spans="12:21" x14ac:dyDescent="0.25">
      <c r="L90" s="20" t="s">
        <v>168</v>
      </c>
      <c r="M90" s="20" t="s">
        <v>163</v>
      </c>
      <c r="N90" s="20"/>
      <c r="O90" s="20" t="s">
        <v>164</v>
      </c>
      <c r="P90" s="20">
        <v>1590</v>
      </c>
      <c r="Q90" s="20"/>
      <c r="R90" s="20" t="str">
        <f t="shared" si="2"/>
        <v/>
      </c>
      <c r="S90" s="20"/>
      <c r="T90" s="72"/>
      <c r="U90" s="72"/>
    </row>
    <row r="91" spans="12:21" x14ac:dyDescent="0.25">
      <c r="L91" s="20" t="s">
        <v>169</v>
      </c>
      <c r="M91" s="20" t="s">
        <v>163</v>
      </c>
      <c r="N91" s="20"/>
      <c r="O91" s="20" t="s">
        <v>167</v>
      </c>
      <c r="P91" s="20">
        <v>1385</v>
      </c>
      <c r="Q91" s="20"/>
      <c r="R91" s="20" t="str">
        <f t="shared" si="2"/>
        <v/>
      </c>
      <c r="S91" s="20"/>
      <c r="T91" s="72"/>
      <c r="U91" s="72"/>
    </row>
    <row r="92" spans="12:21" x14ac:dyDescent="0.25">
      <c r="L92" s="20" t="s">
        <v>170</v>
      </c>
      <c r="M92" s="20" t="s">
        <v>163</v>
      </c>
      <c r="N92" s="20"/>
      <c r="O92" s="20" t="s">
        <v>167</v>
      </c>
      <c r="P92" s="20">
        <v>1380</v>
      </c>
      <c r="Q92" s="20"/>
      <c r="R92" s="20" t="str">
        <f t="shared" si="2"/>
        <v/>
      </c>
      <c r="S92" s="20"/>
      <c r="T92" s="72"/>
      <c r="U92" s="72"/>
    </row>
    <row r="93" spans="12:21" x14ac:dyDescent="0.25">
      <c r="L93" s="20" t="s">
        <v>171</v>
      </c>
      <c r="M93" s="20" t="s">
        <v>163</v>
      </c>
      <c r="N93" s="20"/>
      <c r="O93" s="20" t="s">
        <v>167</v>
      </c>
      <c r="P93" s="20">
        <v>1385</v>
      </c>
      <c r="Q93" s="20"/>
      <c r="R93" s="20" t="str">
        <f t="shared" si="2"/>
        <v/>
      </c>
      <c r="S93" s="20"/>
      <c r="T93" s="72"/>
      <c r="U93" s="72"/>
    </row>
    <row r="94" spans="12:21" x14ac:dyDescent="0.25">
      <c r="L94" s="20" t="s">
        <v>172</v>
      </c>
      <c r="M94" s="20" t="s">
        <v>163</v>
      </c>
      <c r="N94" s="20"/>
      <c r="O94" s="20" t="s">
        <v>167</v>
      </c>
      <c r="P94" s="20">
        <v>1373</v>
      </c>
      <c r="Q94" s="20"/>
      <c r="R94" s="20" t="str">
        <f t="shared" si="2"/>
        <v/>
      </c>
      <c r="S94" s="20"/>
      <c r="T94" s="72"/>
      <c r="U94" s="72"/>
    </row>
    <row r="95" spans="12:21" x14ac:dyDescent="0.25">
      <c r="L95" s="20" t="s">
        <v>173</v>
      </c>
      <c r="M95" s="20" t="s">
        <v>163</v>
      </c>
      <c r="N95" s="20"/>
      <c r="O95" s="20" t="s">
        <v>167</v>
      </c>
      <c r="P95" s="20">
        <v>1385</v>
      </c>
      <c r="Q95" s="20"/>
      <c r="R95" s="20" t="str">
        <f t="shared" si="2"/>
        <v/>
      </c>
      <c r="S95" s="20"/>
      <c r="T95" s="72"/>
      <c r="U95" s="72"/>
    </row>
    <row r="96" spans="12:21" x14ac:dyDescent="0.25">
      <c r="L96" s="20" t="s">
        <v>174</v>
      </c>
      <c r="M96" s="20" t="s">
        <v>163</v>
      </c>
      <c r="N96" s="20"/>
      <c r="O96" s="20" t="s">
        <v>167</v>
      </c>
      <c r="P96" s="20">
        <v>1383</v>
      </c>
      <c r="Q96" s="20"/>
      <c r="R96" s="20" t="str">
        <f t="shared" si="2"/>
        <v/>
      </c>
      <c r="S96" s="20"/>
      <c r="T96" s="72"/>
      <c r="U96" s="72"/>
    </row>
    <row r="97" spans="12:21" x14ac:dyDescent="0.25">
      <c r="L97" s="20" t="s">
        <v>175</v>
      </c>
      <c r="M97" s="20" t="s">
        <v>163</v>
      </c>
      <c r="N97" s="20"/>
      <c r="O97" s="20" t="s">
        <v>167</v>
      </c>
      <c r="P97" s="20">
        <v>1373</v>
      </c>
      <c r="Q97" s="20"/>
      <c r="R97" s="20" t="str">
        <f t="shared" si="2"/>
        <v/>
      </c>
      <c r="S97" s="20"/>
      <c r="T97" s="72"/>
      <c r="U97" s="72"/>
    </row>
    <row r="98" spans="12:21" x14ac:dyDescent="0.25">
      <c r="L98" s="20" t="s">
        <v>173</v>
      </c>
      <c r="M98" s="20" t="s">
        <v>163</v>
      </c>
      <c r="N98" s="20"/>
      <c r="O98" s="20" t="s">
        <v>167</v>
      </c>
      <c r="P98" s="20">
        <v>1100</v>
      </c>
      <c r="Q98" s="20"/>
      <c r="R98" s="20" t="str">
        <f t="shared" si="2"/>
        <v/>
      </c>
      <c r="S98" s="20"/>
      <c r="T98" s="72"/>
      <c r="U98" s="72"/>
    </row>
    <row r="99" spans="12:21" x14ac:dyDescent="0.25">
      <c r="L99" s="20" t="s">
        <v>176</v>
      </c>
      <c r="M99" s="20" t="s">
        <v>163</v>
      </c>
      <c r="N99" s="20"/>
      <c r="O99" s="20" t="s">
        <v>167</v>
      </c>
      <c r="P99" s="20">
        <v>1385</v>
      </c>
      <c r="Q99" s="20"/>
      <c r="R99" s="20" t="str">
        <f t="shared" si="2"/>
        <v/>
      </c>
      <c r="S99" s="20"/>
      <c r="T99" s="72"/>
      <c r="U99" s="72"/>
    </row>
    <row r="100" spans="12:21" x14ac:dyDescent="0.25">
      <c r="L100" s="20" t="s">
        <v>177</v>
      </c>
      <c r="M100" s="20" t="s">
        <v>178</v>
      </c>
      <c r="N100" s="20"/>
      <c r="O100" s="20" t="s">
        <v>179</v>
      </c>
      <c r="P100" s="20">
        <v>505</v>
      </c>
      <c r="Q100" s="20">
        <v>77.599999999999994</v>
      </c>
      <c r="R100" s="20">
        <f t="shared" si="2"/>
        <v>77.599999999999994</v>
      </c>
      <c r="S100" s="20"/>
      <c r="T100" s="72"/>
      <c r="U100" s="72"/>
    </row>
    <row r="101" spans="12:21" x14ac:dyDescent="0.25">
      <c r="L101" s="20" t="s">
        <v>180</v>
      </c>
      <c r="M101" s="20" t="s">
        <v>39</v>
      </c>
      <c r="N101" s="20"/>
      <c r="O101" s="20" t="s">
        <v>181</v>
      </c>
      <c r="P101" s="20">
        <v>866</v>
      </c>
      <c r="Q101" s="20"/>
      <c r="R101" s="20" t="str">
        <f t="shared" si="2"/>
        <v/>
      </c>
      <c r="S101" s="20"/>
      <c r="T101" s="72"/>
      <c r="U101" s="72"/>
    </row>
    <row r="102" spans="12:21" x14ac:dyDescent="0.25">
      <c r="L102" s="20" t="s">
        <v>182</v>
      </c>
      <c r="M102" s="20" t="s">
        <v>163</v>
      </c>
      <c r="N102" s="20"/>
      <c r="O102" s="20" t="s">
        <v>183</v>
      </c>
      <c r="P102" s="20">
        <v>1108</v>
      </c>
      <c r="Q102" s="20"/>
      <c r="R102" s="20" t="str">
        <f t="shared" si="2"/>
        <v/>
      </c>
      <c r="S102" s="20"/>
      <c r="T102" s="72"/>
      <c r="U102" s="72"/>
    </row>
    <row r="103" spans="12:21" x14ac:dyDescent="0.25">
      <c r="L103" s="20" t="s">
        <v>184</v>
      </c>
      <c r="M103" s="20" t="s">
        <v>39</v>
      </c>
      <c r="N103" s="20"/>
      <c r="O103" s="20" t="s">
        <v>185</v>
      </c>
      <c r="P103" s="20">
        <v>1067</v>
      </c>
      <c r="Q103" s="20"/>
      <c r="R103" s="20" t="str">
        <f t="shared" si="2"/>
        <v/>
      </c>
      <c r="S103" s="20"/>
      <c r="T103" s="72"/>
      <c r="U103" s="72"/>
    </row>
    <row r="104" spans="12:21" x14ac:dyDescent="0.25">
      <c r="L104" s="20" t="s">
        <v>186</v>
      </c>
      <c r="M104" s="20" t="s">
        <v>163</v>
      </c>
      <c r="N104" s="20"/>
      <c r="O104" s="20" t="s">
        <v>183</v>
      </c>
      <c r="P104" s="20">
        <v>1325</v>
      </c>
      <c r="Q104" s="20"/>
      <c r="R104" s="20" t="str">
        <f t="shared" si="2"/>
        <v/>
      </c>
      <c r="S104" s="20"/>
      <c r="T104" s="72"/>
      <c r="U104" s="72"/>
    </row>
    <row r="105" spans="12:21" x14ac:dyDescent="0.25">
      <c r="L105" s="20" t="s">
        <v>187</v>
      </c>
      <c r="M105" s="20" t="s">
        <v>39</v>
      </c>
      <c r="N105" s="20"/>
      <c r="O105" s="20" t="s">
        <v>185</v>
      </c>
      <c r="P105" s="20">
        <v>796</v>
      </c>
      <c r="Q105" s="20"/>
      <c r="R105" s="20" t="str">
        <f t="shared" si="2"/>
        <v/>
      </c>
      <c r="S105" s="20"/>
      <c r="T105" s="72"/>
      <c r="U105" s="72"/>
    </row>
    <row r="106" spans="12:21" x14ac:dyDescent="0.25">
      <c r="L106" s="20" t="s">
        <v>188</v>
      </c>
      <c r="M106" s="20" t="s">
        <v>163</v>
      </c>
      <c r="N106" s="20"/>
      <c r="O106" s="20" t="s">
        <v>183</v>
      </c>
      <c r="P106" s="20">
        <v>1315</v>
      </c>
      <c r="Q106" s="20"/>
      <c r="R106" s="20" t="str">
        <f t="shared" si="2"/>
        <v/>
      </c>
      <c r="S106" s="20"/>
      <c r="T106" s="72"/>
      <c r="U106" s="72"/>
    </row>
    <row r="107" spans="12:21" x14ac:dyDescent="0.25">
      <c r="L107" s="20" t="s">
        <v>189</v>
      </c>
      <c r="M107" s="20" t="s">
        <v>39</v>
      </c>
      <c r="N107" s="20"/>
      <c r="O107" s="20" t="s">
        <v>190</v>
      </c>
      <c r="P107" s="20">
        <v>1127</v>
      </c>
      <c r="Q107" s="20">
        <v>64.599999999999994</v>
      </c>
      <c r="R107" s="20" t="str">
        <f t="shared" si="2"/>
        <v/>
      </c>
      <c r="S107" s="20"/>
      <c r="T107" s="72"/>
      <c r="U107" s="72"/>
    </row>
    <row r="108" spans="12:21" x14ac:dyDescent="0.25">
      <c r="L108" s="20" t="s">
        <v>191</v>
      </c>
      <c r="M108" s="20" t="s">
        <v>163</v>
      </c>
      <c r="N108" s="20"/>
      <c r="O108" s="20" t="s">
        <v>183</v>
      </c>
      <c r="P108" s="20">
        <v>1315</v>
      </c>
      <c r="Q108" s="20"/>
      <c r="R108" s="20" t="str">
        <f t="shared" si="2"/>
        <v/>
      </c>
      <c r="S108" s="20"/>
      <c r="T108" s="72"/>
      <c r="U108" s="72"/>
    </row>
    <row r="109" spans="12:21" x14ac:dyDescent="0.25">
      <c r="L109" s="20" t="s">
        <v>192</v>
      </c>
      <c r="M109" s="20" t="s">
        <v>39</v>
      </c>
      <c r="N109" s="20"/>
      <c r="O109" s="20" t="s">
        <v>185</v>
      </c>
      <c r="P109" s="20">
        <v>796</v>
      </c>
      <c r="Q109" s="20"/>
      <c r="R109" s="20" t="str">
        <f t="shared" si="2"/>
        <v/>
      </c>
      <c r="S109" s="20"/>
      <c r="T109" s="72"/>
      <c r="U109" s="72"/>
    </row>
    <row r="110" spans="12:21" x14ac:dyDescent="0.25">
      <c r="L110" s="20" t="s">
        <v>193</v>
      </c>
      <c r="M110" s="20" t="s">
        <v>39</v>
      </c>
      <c r="N110" s="20"/>
      <c r="O110" s="20" t="s">
        <v>181</v>
      </c>
      <c r="P110" s="20">
        <v>846</v>
      </c>
      <c r="Q110" s="20">
        <v>64.8</v>
      </c>
      <c r="R110" s="20" t="str">
        <f t="shared" si="2"/>
        <v/>
      </c>
      <c r="S110" s="20"/>
      <c r="T110" s="72"/>
      <c r="U110" s="72"/>
    </row>
    <row r="111" spans="12:21" x14ac:dyDescent="0.25">
      <c r="L111" s="20" t="s">
        <v>194</v>
      </c>
      <c r="M111" s="20" t="s">
        <v>39</v>
      </c>
      <c r="N111" s="20"/>
      <c r="O111" s="20" t="s">
        <v>185</v>
      </c>
      <c r="P111" s="20">
        <v>1067</v>
      </c>
      <c r="Q111" s="20"/>
      <c r="R111" s="20" t="str">
        <f t="shared" si="2"/>
        <v/>
      </c>
      <c r="S111" s="20"/>
      <c r="T111" s="72"/>
      <c r="U111" s="72"/>
    </row>
    <row r="112" spans="12:21" x14ac:dyDescent="0.25">
      <c r="L112" s="20" t="s">
        <v>195</v>
      </c>
      <c r="M112" s="20" t="s">
        <v>39</v>
      </c>
      <c r="N112" s="20"/>
      <c r="O112" s="20" t="s">
        <v>190</v>
      </c>
      <c r="P112" s="20">
        <v>1127</v>
      </c>
      <c r="Q112" s="20">
        <v>63.3</v>
      </c>
      <c r="R112" s="20" t="str">
        <f t="shared" si="2"/>
        <v/>
      </c>
      <c r="S112" s="20"/>
      <c r="T112" s="72"/>
      <c r="U112" s="72"/>
    </row>
    <row r="113" spans="12:21" x14ac:dyDescent="0.25">
      <c r="L113" s="20" t="s">
        <v>196</v>
      </c>
      <c r="M113" s="20" t="s">
        <v>39</v>
      </c>
      <c r="N113" s="20"/>
      <c r="O113" s="20" t="s">
        <v>185</v>
      </c>
      <c r="P113" s="20">
        <v>1092</v>
      </c>
      <c r="Q113" s="20"/>
      <c r="R113" s="20" t="str">
        <f t="shared" si="2"/>
        <v/>
      </c>
      <c r="S113" s="20"/>
      <c r="T113" s="72"/>
      <c r="U113" s="72"/>
    </row>
    <row r="114" spans="12:21" x14ac:dyDescent="0.25">
      <c r="L114" s="20" t="s">
        <v>182</v>
      </c>
      <c r="M114" s="20" t="s">
        <v>39</v>
      </c>
      <c r="N114" s="20"/>
      <c r="O114" s="20" t="s">
        <v>185</v>
      </c>
      <c r="P114" s="20">
        <v>505</v>
      </c>
      <c r="Q114" s="20"/>
      <c r="R114" s="20" t="str">
        <f t="shared" si="2"/>
        <v/>
      </c>
      <c r="S114" s="20"/>
      <c r="T114" s="72"/>
      <c r="U114" s="72"/>
    </row>
    <row r="115" spans="12:21" x14ac:dyDescent="0.25">
      <c r="L115" s="20" t="s">
        <v>197</v>
      </c>
      <c r="M115" s="20" t="s">
        <v>39</v>
      </c>
      <c r="N115" s="20"/>
      <c r="O115" s="20" t="s">
        <v>185</v>
      </c>
      <c r="P115" s="20">
        <v>1067</v>
      </c>
      <c r="Q115" s="20"/>
      <c r="R115" s="20" t="str">
        <f t="shared" si="2"/>
        <v/>
      </c>
      <c r="S115" s="20"/>
      <c r="T115" s="72"/>
      <c r="U115" s="72"/>
    </row>
    <row r="116" spans="12:21" x14ac:dyDescent="0.25">
      <c r="L116" s="20" t="s">
        <v>198</v>
      </c>
      <c r="M116" s="20" t="s">
        <v>39</v>
      </c>
      <c r="N116" s="20"/>
      <c r="O116" s="20" t="s">
        <v>190</v>
      </c>
      <c r="P116" s="20">
        <v>1127</v>
      </c>
      <c r="Q116" s="20">
        <v>71</v>
      </c>
      <c r="R116" s="20" t="str">
        <f t="shared" si="2"/>
        <v/>
      </c>
      <c r="S116" s="20"/>
      <c r="T116" s="72"/>
      <c r="U116" s="72"/>
    </row>
    <row r="117" spans="12:21" x14ac:dyDescent="0.25">
      <c r="L117" s="20" t="s">
        <v>199</v>
      </c>
      <c r="M117" s="20" t="s">
        <v>39</v>
      </c>
      <c r="N117" s="20"/>
      <c r="O117" s="20" t="s">
        <v>190</v>
      </c>
      <c r="P117" s="20">
        <v>1127</v>
      </c>
      <c r="Q117" s="20">
        <v>71</v>
      </c>
      <c r="R117" s="20" t="str">
        <f t="shared" si="2"/>
        <v/>
      </c>
      <c r="S117" s="20"/>
      <c r="T117" s="72"/>
      <c r="U117" s="72"/>
    </row>
    <row r="118" spans="12:21" x14ac:dyDescent="0.25">
      <c r="L118" s="20" t="s">
        <v>200</v>
      </c>
      <c r="M118" s="20" t="s">
        <v>39</v>
      </c>
      <c r="N118" s="20"/>
      <c r="O118" s="20" t="s">
        <v>201</v>
      </c>
      <c r="P118" s="20">
        <v>550</v>
      </c>
      <c r="Q118" s="20"/>
      <c r="R118" s="20" t="str">
        <f t="shared" si="2"/>
        <v/>
      </c>
      <c r="S118" s="20"/>
      <c r="T118" s="72"/>
      <c r="U118" s="72"/>
    </row>
    <row r="119" spans="12:21" x14ac:dyDescent="0.25">
      <c r="L119" s="20" t="s">
        <v>202</v>
      </c>
      <c r="M119" s="20" t="s">
        <v>39</v>
      </c>
      <c r="N119" s="20"/>
      <c r="O119" s="20" t="s">
        <v>185</v>
      </c>
      <c r="P119" s="20">
        <v>1067</v>
      </c>
      <c r="Q119" s="20"/>
      <c r="R119" s="20" t="str">
        <f t="shared" si="2"/>
        <v/>
      </c>
      <c r="S119" s="20"/>
      <c r="T119" s="72"/>
      <c r="U119" s="72"/>
    </row>
    <row r="120" spans="12:21" x14ac:dyDescent="0.25">
      <c r="L120" s="20" t="s">
        <v>203</v>
      </c>
      <c r="M120" s="20" t="s">
        <v>39</v>
      </c>
      <c r="N120" s="20"/>
      <c r="O120" s="20" t="s">
        <v>185</v>
      </c>
      <c r="P120" s="20">
        <v>1067</v>
      </c>
      <c r="Q120" s="20"/>
      <c r="R120" s="20" t="str">
        <f t="shared" si="2"/>
        <v/>
      </c>
      <c r="S120" s="20"/>
      <c r="T120" s="72"/>
      <c r="U120" s="72"/>
    </row>
    <row r="121" spans="12:21" x14ac:dyDescent="0.25">
      <c r="L121" s="20" t="s">
        <v>204</v>
      </c>
      <c r="M121" s="20" t="s">
        <v>39</v>
      </c>
      <c r="N121" s="20"/>
      <c r="O121" s="20" t="s">
        <v>201</v>
      </c>
      <c r="P121" s="20">
        <v>550</v>
      </c>
      <c r="Q121" s="20"/>
      <c r="R121" s="20" t="str">
        <f t="shared" si="2"/>
        <v/>
      </c>
      <c r="S121" s="20"/>
      <c r="T121" s="72"/>
      <c r="U121" s="72"/>
    </row>
    <row r="122" spans="12:21" x14ac:dyDescent="0.25">
      <c r="L122" s="20" t="s">
        <v>205</v>
      </c>
      <c r="M122" s="20" t="s">
        <v>39</v>
      </c>
      <c r="N122" s="20"/>
      <c r="O122" s="20" t="s">
        <v>185</v>
      </c>
      <c r="P122" s="20">
        <v>789</v>
      </c>
      <c r="Q122" s="20"/>
      <c r="R122" s="20" t="str">
        <f t="shared" si="2"/>
        <v/>
      </c>
      <c r="S122" s="20"/>
      <c r="T122" s="72"/>
      <c r="U122" s="72"/>
    </row>
    <row r="123" spans="12:21" x14ac:dyDescent="0.25">
      <c r="L123" s="20" t="s">
        <v>206</v>
      </c>
      <c r="M123" s="20" t="s">
        <v>39</v>
      </c>
      <c r="N123" s="20"/>
      <c r="O123" s="20" t="s">
        <v>185</v>
      </c>
      <c r="P123" s="20">
        <v>1056</v>
      </c>
      <c r="Q123" s="20"/>
      <c r="R123" s="20" t="str">
        <f t="shared" si="2"/>
        <v/>
      </c>
      <c r="S123" s="20"/>
      <c r="T123" s="72"/>
      <c r="U123" s="72"/>
    </row>
    <row r="124" spans="12:21" x14ac:dyDescent="0.25">
      <c r="L124" s="20" t="s">
        <v>207</v>
      </c>
      <c r="M124" s="20"/>
      <c r="N124" s="20"/>
      <c r="O124" s="20"/>
      <c r="P124" s="20"/>
      <c r="Q124" s="20"/>
      <c r="R124" s="20" t="str">
        <f t="shared" si="2"/>
        <v/>
      </c>
      <c r="S124" s="20"/>
      <c r="T124" s="72"/>
      <c r="U124" s="72"/>
    </row>
    <row r="125" spans="12:21" x14ac:dyDescent="0.25">
      <c r="L125" s="20" t="s">
        <v>208</v>
      </c>
      <c r="M125" s="20" t="s">
        <v>39</v>
      </c>
      <c r="N125" s="20"/>
      <c r="O125" s="20" t="s">
        <v>209</v>
      </c>
      <c r="P125" s="20">
        <v>878</v>
      </c>
      <c r="Q125" s="20">
        <v>84.7</v>
      </c>
      <c r="R125" s="20">
        <f t="shared" si="2"/>
        <v>84.7</v>
      </c>
      <c r="S125" s="20"/>
      <c r="T125" s="72"/>
      <c r="U125" s="72"/>
    </row>
    <row r="126" spans="12:21" x14ac:dyDescent="0.25">
      <c r="L126" s="20" t="s">
        <v>210</v>
      </c>
      <c r="M126" s="20" t="s">
        <v>39</v>
      </c>
      <c r="N126" s="20"/>
      <c r="O126" s="20" t="s">
        <v>209</v>
      </c>
      <c r="P126" s="20">
        <v>878</v>
      </c>
      <c r="Q126" s="20">
        <v>78.2</v>
      </c>
      <c r="R126" s="20">
        <f t="shared" si="2"/>
        <v>78.2</v>
      </c>
      <c r="S126" s="20"/>
      <c r="T126" s="72"/>
      <c r="U126" s="72"/>
    </row>
    <row r="127" spans="12:21" x14ac:dyDescent="0.25">
      <c r="L127" s="20" t="s">
        <v>211</v>
      </c>
      <c r="M127" s="20" t="s">
        <v>39</v>
      </c>
      <c r="N127" s="20"/>
      <c r="O127" s="20" t="s">
        <v>209</v>
      </c>
      <c r="P127" s="20">
        <v>878</v>
      </c>
      <c r="Q127" s="20">
        <v>79.7</v>
      </c>
      <c r="R127" s="20">
        <f t="shared" si="2"/>
        <v>79.7</v>
      </c>
      <c r="S127" s="20"/>
      <c r="T127" s="72"/>
      <c r="U127" s="72"/>
    </row>
    <row r="128" spans="12:21" x14ac:dyDescent="0.25">
      <c r="L128" s="20" t="s">
        <v>212</v>
      </c>
      <c r="M128" s="20" t="s">
        <v>39</v>
      </c>
      <c r="N128" s="20"/>
      <c r="O128" s="20" t="s">
        <v>209</v>
      </c>
      <c r="P128" s="20">
        <v>878</v>
      </c>
      <c r="Q128" s="20">
        <v>71.900000000000006</v>
      </c>
      <c r="R128" s="20" t="str">
        <f t="shared" si="2"/>
        <v/>
      </c>
      <c r="S128" s="20"/>
      <c r="T128" s="72"/>
      <c r="U128" s="72"/>
    </row>
    <row r="129" spans="12:21" x14ac:dyDescent="0.25">
      <c r="L129" s="20" t="s">
        <v>213</v>
      </c>
      <c r="M129" s="20" t="s">
        <v>39</v>
      </c>
      <c r="N129" s="20"/>
      <c r="O129" s="20" t="s">
        <v>214</v>
      </c>
      <c r="P129" s="20">
        <v>817</v>
      </c>
      <c r="Q129" s="20">
        <v>83.2</v>
      </c>
      <c r="R129" s="20">
        <f t="shared" si="2"/>
        <v>83.2</v>
      </c>
      <c r="S129" s="20"/>
      <c r="T129" s="72"/>
      <c r="U129" s="72"/>
    </row>
    <row r="130" spans="12:21" x14ac:dyDescent="0.25">
      <c r="L130"/>
      <c r="M130"/>
      <c r="N130"/>
      <c r="O130"/>
      <c r="P130"/>
      <c r="Q130"/>
      <c r="R130"/>
      <c r="S130"/>
      <c r="T130"/>
      <c r="U130"/>
    </row>
    <row r="131" spans="12:21" x14ac:dyDescent="0.25">
      <c r="L131"/>
      <c r="M131"/>
      <c r="N131"/>
      <c r="O131"/>
      <c r="P131"/>
      <c r="Q131"/>
      <c r="R131"/>
      <c r="S131"/>
      <c r="T131"/>
      <c r="U131"/>
    </row>
    <row r="132" spans="12:21" x14ac:dyDescent="0.25">
      <c r="L132"/>
      <c r="M132"/>
      <c r="N132"/>
      <c r="O132"/>
      <c r="P132"/>
      <c r="Q132"/>
      <c r="R132"/>
      <c r="S132"/>
      <c r="T132"/>
      <c r="U132"/>
    </row>
    <row r="133" spans="12:21" x14ac:dyDescent="0.25">
      <c r="L133"/>
      <c r="M133"/>
      <c r="N133"/>
      <c r="O133"/>
      <c r="P133"/>
      <c r="Q133"/>
      <c r="R133"/>
      <c r="S133"/>
      <c r="T133"/>
      <c r="U133"/>
    </row>
    <row r="134" spans="12:21" x14ac:dyDescent="0.25">
      <c r="L134"/>
      <c r="M134"/>
      <c r="N134"/>
      <c r="O134"/>
      <c r="P134"/>
      <c r="Q134"/>
      <c r="R134"/>
      <c r="S134"/>
      <c r="T134"/>
      <c r="U134"/>
    </row>
    <row r="135" spans="12:21" x14ac:dyDescent="0.25">
      <c r="L135"/>
      <c r="M135"/>
      <c r="N135"/>
      <c r="O135"/>
      <c r="P135"/>
      <c r="Q135"/>
      <c r="R135"/>
      <c r="S135"/>
      <c r="T135"/>
      <c r="U135"/>
    </row>
    <row r="136" spans="12:21" x14ac:dyDescent="0.25">
      <c r="L136"/>
      <c r="M136"/>
      <c r="N136"/>
      <c r="O136"/>
      <c r="P136"/>
      <c r="Q136"/>
      <c r="R136"/>
      <c r="S136"/>
      <c r="T136"/>
      <c r="U136"/>
    </row>
    <row r="137" spans="12:21" x14ac:dyDescent="0.25">
      <c r="L137"/>
      <c r="M137"/>
      <c r="N137"/>
      <c r="O137"/>
      <c r="P137"/>
      <c r="Q137"/>
      <c r="R137"/>
      <c r="S137"/>
      <c r="T137"/>
      <c r="U137"/>
    </row>
    <row r="138" spans="12:21" x14ac:dyDescent="0.25">
      <c r="L138"/>
      <c r="M138"/>
      <c r="N138"/>
      <c r="O138"/>
      <c r="P138"/>
      <c r="Q138"/>
      <c r="R138"/>
      <c r="S138"/>
      <c r="T138"/>
      <c r="U138"/>
    </row>
    <row r="139" spans="12:21" x14ac:dyDescent="0.25">
      <c r="L139"/>
      <c r="M139"/>
      <c r="N139"/>
      <c r="O139"/>
      <c r="P139"/>
      <c r="Q139"/>
      <c r="R139"/>
      <c r="S139"/>
      <c r="T139"/>
      <c r="U139"/>
    </row>
    <row r="140" spans="12:21" x14ac:dyDescent="0.25">
      <c r="L140"/>
      <c r="M140"/>
      <c r="N140"/>
      <c r="O140"/>
      <c r="P140"/>
      <c r="Q140"/>
      <c r="R140"/>
      <c r="S140"/>
      <c r="T140"/>
      <c r="U140"/>
    </row>
    <row r="141" spans="12:21" x14ac:dyDescent="0.25">
      <c r="L141"/>
      <c r="M141"/>
      <c r="N141"/>
      <c r="O141"/>
      <c r="P141"/>
      <c r="Q141"/>
      <c r="R141"/>
      <c r="S141"/>
      <c r="T141"/>
      <c r="U141"/>
    </row>
    <row r="142" spans="12:21" x14ac:dyDescent="0.25">
      <c r="L142"/>
      <c r="M142"/>
      <c r="N142"/>
      <c r="O142"/>
      <c r="P142"/>
      <c r="Q142"/>
      <c r="R142"/>
      <c r="S142"/>
      <c r="T142"/>
      <c r="U142"/>
    </row>
    <row r="143" spans="12:21" x14ac:dyDescent="0.25">
      <c r="L143"/>
      <c r="M143"/>
      <c r="N143"/>
      <c r="O143"/>
      <c r="P143"/>
      <c r="Q143"/>
      <c r="R143"/>
      <c r="S143"/>
      <c r="T143"/>
      <c r="U143"/>
    </row>
    <row r="144" spans="12:21" x14ac:dyDescent="0.25">
      <c r="L144"/>
      <c r="M144"/>
      <c r="N144"/>
      <c r="O144"/>
      <c r="P144"/>
      <c r="Q144"/>
      <c r="R144"/>
      <c r="S144"/>
      <c r="T144"/>
      <c r="U144"/>
    </row>
    <row r="145" spans="12:21" x14ac:dyDescent="0.25">
      <c r="L145"/>
      <c r="M145"/>
      <c r="N145"/>
      <c r="O145"/>
      <c r="P145"/>
      <c r="Q145"/>
      <c r="R145"/>
      <c r="S145"/>
      <c r="T145"/>
      <c r="U145"/>
    </row>
    <row r="146" spans="12:21" x14ac:dyDescent="0.25">
      <c r="L146"/>
      <c r="M146"/>
      <c r="N146"/>
      <c r="O146"/>
      <c r="P146"/>
      <c r="Q146"/>
      <c r="R146"/>
      <c r="S146"/>
      <c r="T146"/>
      <c r="U146"/>
    </row>
    <row r="147" spans="12:21" x14ac:dyDescent="0.25">
      <c r="L147"/>
      <c r="M147"/>
      <c r="N147"/>
      <c r="O147"/>
      <c r="P147"/>
      <c r="Q147"/>
      <c r="R147"/>
      <c r="S147"/>
      <c r="T147"/>
      <c r="U147"/>
    </row>
    <row r="148" spans="12:21" x14ac:dyDescent="0.25">
      <c r="L148"/>
      <c r="M148"/>
      <c r="N148"/>
      <c r="O148"/>
      <c r="P148"/>
      <c r="Q148"/>
      <c r="R148"/>
      <c r="S148"/>
      <c r="T148"/>
      <c r="U148"/>
    </row>
    <row r="149" spans="12:21" x14ac:dyDescent="0.25">
      <c r="L149"/>
      <c r="M149"/>
      <c r="N149"/>
      <c r="O149"/>
      <c r="P149"/>
      <c r="Q149"/>
      <c r="R149"/>
      <c r="S149"/>
      <c r="T149"/>
      <c r="U149"/>
    </row>
    <row r="150" spans="12:21" x14ac:dyDescent="0.25">
      <c r="L150"/>
      <c r="M150"/>
      <c r="N150"/>
      <c r="O150"/>
      <c r="P150"/>
      <c r="Q150"/>
      <c r="R150"/>
      <c r="S150"/>
      <c r="T150"/>
      <c r="U150"/>
    </row>
    <row r="151" spans="12:21" x14ac:dyDescent="0.25">
      <c r="L151"/>
      <c r="M151"/>
      <c r="N151"/>
      <c r="O151"/>
      <c r="P151"/>
      <c r="Q151"/>
      <c r="R151"/>
      <c r="S151"/>
      <c r="T151"/>
      <c r="U151"/>
    </row>
    <row r="152" spans="12:21" x14ac:dyDescent="0.25">
      <c r="L152"/>
      <c r="M152"/>
      <c r="N152"/>
      <c r="O152"/>
      <c r="P152"/>
      <c r="Q152"/>
      <c r="R152"/>
      <c r="S152"/>
      <c r="T152"/>
      <c r="U152"/>
    </row>
    <row r="153" spans="12:21" x14ac:dyDescent="0.25">
      <c r="L153"/>
      <c r="M153"/>
      <c r="N153"/>
      <c r="O153"/>
      <c r="P153"/>
      <c r="Q153"/>
      <c r="R153"/>
      <c r="S153"/>
      <c r="T153"/>
      <c r="U153"/>
    </row>
    <row r="154" spans="12:21" x14ac:dyDescent="0.25">
      <c r="L154"/>
      <c r="M154"/>
      <c r="N154"/>
      <c r="O154"/>
      <c r="P154"/>
      <c r="Q154"/>
      <c r="R154"/>
      <c r="S154"/>
      <c r="T154"/>
      <c r="U154"/>
    </row>
    <row r="155" spans="12:21" x14ac:dyDescent="0.25">
      <c r="L155"/>
      <c r="M155"/>
      <c r="N155"/>
      <c r="O155"/>
      <c r="P155"/>
      <c r="Q155"/>
      <c r="R155"/>
      <c r="S155"/>
      <c r="T155"/>
      <c r="U155"/>
    </row>
    <row r="156" spans="12:21" x14ac:dyDescent="0.25">
      <c r="L156"/>
      <c r="M156"/>
      <c r="N156"/>
      <c r="O156"/>
      <c r="P156"/>
      <c r="Q156"/>
      <c r="R156"/>
      <c r="S156"/>
      <c r="T156"/>
      <c r="U156"/>
    </row>
    <row r="157" spans="12:21" x14ac:dyDescent="0.25">
      <c r="L157"/>
      <c r="M157"/>
      <c r="N157"/>
      <c r="O157"/>
      <c r="P157"/>
      <c r="Q157"/>
      <c r="R157"/>
      <c r="S157"/>
      <c r="T157"/>
      <c r="U157"/>
    </row>
    <row r="158" spans="12:21" x14ac:dyDescent="0.25">
      <c r="L158"/>
      <c r="M158"/>
      <c r="N158"/>
      <c r="O158"/>
      <c r="P158"/>
      <c r="Q158"/>
      <c r="R158"/>
      <c r="S158"/>
      <c r="T158"/>
      <c r="U158"/>
    </row>
    <row r="159" spans="12:21" x14ac:dyDescent="0.25">
      <c r="L159"/>
      <c r="M159"/>
      <c r="N159"/>
      <c r="O159"/>
      <c r="P159"/>
      <c r="Q159"/>
      <c r="R159"/>
      <c r="S159"/>
      <c r="T159"/>
      <c r="U159"/>
    </row>
    <row r="160" spans="12:21" x14ac:dyDescent="0.25">
      <c r="L160"/>
      <c r="M160"/>
      <c r="N160"/>
      <c r="O160"/>
      <c r="P160"/>
      <c r="Q160"/>
      <c r="R160"/>
      <c r="S160"/>
      <c r="T160"/>
      <c r="U160"/>
    </row>
    <row r="161" spans="12:21" x14ac:dyDescent="0.25">
      <c r="L161"/>
      <c r="M161"/>
      <c r="N161"/>
      <c r="O161"/>
      <c r="P161"/>
      <c r="Q161"/>
      <c r="R161"/>
      <c r="S161"/>
      <c r="T161"/>
      <c r="U161"/>
    </row>
    <row r="162" spans="12:21" x14ac:dyDescent="0.25">
      <c r="L162"/>
      <c r="M162"/>
      <c r="N162"/>
      <c r="O162"/>
      <c r="P162"/>
      <c r="Q162"/>
      <c r="R162"/>
      <c r="S162"/>
      <c r="T162"/>
      <c r="U162"/>
    </row>
    <row r="163" spans="12:21" x14ac:dyDescent="0.25">
      <c r="L163"/>
      <c r="M163"/>
      <c r="N163"/>
      <c r="O163"/>
      <c r="P163"/>
      <c r="Q163"/>
      <c r="R163"/>
      <c r="S163"/>
      <c r="T163"/>
      <c r="U163"/>
    </row>
    <row r="164" spans="12:21" x14ac:dyDescent="0.25">
      <c r="L164"/>
      <c r="M164"/>
      <c r="N164"/>
      <c r="O164"/>
      <c r="P164"/>
      <c r="Q164"/>
      <c r="R164"/>
      <c r="S164"/>
      <c r="T164"/>
      <c r="U164"/>
    </row>
    <row r="165" spans="12:21" x14ac:dyDescent="0.25">
      <c r="L165"/>
      <c r="M165"/>
      <c r="N165"/>
      <c r="O165"/>
      <c r="P165"/>
      <c r="Q165"/>
      <c r="R165"/>
      <c r="S165"/>
      <c r="T165"/>
      <c r="U165"/>
    </row>
    <row r="166" spans="12:21" x14ac:dyDescent="0.25">
      <c r="L166"/>
      <c r="M166"/>
      <c r="N166"/>
      <c r="O166"/>
      <c r="P166"/>
      <c r="Q166"/>
      <c r="R166"/>
      <c r="S166"/>
      <c r="T166"/>
      <c r="U166"/>
    </row>
    <row r="167" spans="12:21" x14ac:dyDescent="0.25">
      <c r="L167"/>
      <c r="M167"/>
      <c r="N167"/>
      <c r="O167"/>
      <c r="P167"/>
      <c r="Q167"/>
      <c r="R167"/>
      <c r="S167"/>
      <c r="T167"/>
      <c r="U167"/>
    </row>
    <row r="168" spans="12:21" x14ac:dyDescent="0.25">
      <c r="L168"/>
      <c r="M168"/>
      <c r="N168"/>
      <c r="O168"/>
      <c r="P168"/>
      <c r="Q168"/>
      <c r="R168"/>
      <c r="S168"/>
      <c r="T168"/>
      <c r="U168"/>
    </row>
    <row r="169" spans="12:21" x14ac:dyDescent="0.25">
      <c r="L169"/>
      <c r="M169"/>
      <c r="N169"/>
      <c r="O169"/>
      <c r="P169"/>
      <c r="Q169"/>
      <c r="R169"/>
      <c r="S169"/>
      <c r="T169"/>
      <c r="U169"/>
    </row>
    <row r="170" spans="12:21" x14ac:dyDescent="0.25">
      <c r="L170"/>
      <c r="M170"/>
      <c r="N170"/>
      <c r="O170"/>
      <c r="P170"/>
      <c r="Q170"/>
      <c r="R170"/>
      <c r="S170"/>
      <c r="T170"/>
      <c r="U170"/>
    </row>
    <row r="171" spans="12:21" x14ac:dyDescent="0.25">
      <c r="L171"/>
      <c r="M171"/>
      <c r="N171"/>
      <c r="O171"/>
      <c r="P171"/>
      <c r="Q171"/>
      <c r="R171"/>
      <c r="S171"/>
      <c r="T171"/>
      <c r="U171"/>
    </row>
    <row r="172" spans="12:21" x14ac:dyDescent="0.25">
      <c r="L172"/>
      <c r="M172"/>
      <c r="N172"/>
      <c r="O172"/>
      <c r="P172"/>
      <c r="Q172"/>
      <c r="R172"/>
      <c r="S172"/>
      <c r="T172"/>
      <c r="U172"/>
    </row>
    <row r="173" spans="12:21" x14ac:dyDescent="0.25">
      <c r="L173"/>
      <c r="M173"/>
      <c r="N173"/>
      <c r="O173"/>
      <c r="P173"/>
      <c r="Q173"/>
      <c r="R173"/>
      <c r="S173"/>
      <c r="T173"/>
      <c r="U173"/>
    </row>
    <row r="174" spans="12:21" x14ac:dyDescent="0.25">
      <c r="L174"/>
      <c r="M174"/>
      <c r="N174"/>
      <c r="O174"/>
      <c r="P174"/>
      <c r="Q174"/>
      <c r="R174"/>
      <c r="S174"/>
      <c r="T174"/>
      <c r="U174"/>
    </row>
    <row r="175" spans="12:21" x14ac:dyDescent="0.25">
      <c r="L175"/>
      <c r="M175"/>
      <c r="N175"/>
      <c r="O175"/>
      <c r="P175"/>
      <c r="Q175"/>
      <c r="R175"/>
      <c r="S175"/>
      <c r="T175"/>
      <c r="U175"/>
    </row>
    <row r="176" spans="12:21" x14ac:dyDescent="0.25">
      <c r="L176"/>
      <c r="M176"/>
      <c r="N176"/>
      <c r="O176"/>
      <c r="P176"/>
      <c r="Q176"/>
      <c r="R176"/>
      <c r="S176"/>
      <c r="T176"/>
      <c r="U176"/>
    </row>
    <row r="177" spans="12:21" x14ac:dyDescent="0.25">
      <c r="L177"/>
      <c r="M177"/>
      <c r="N177"/>
      <c r="O177"/>
      <c r="P177"/>
      <c r="Q177"/>
      <c r="R177"/>
      <c r="S177"/>
      <c r="T177"/>
      <c r="U177"/>
    </row>
    <row r="178" spans="12:21" x14ac:dyDescent="0.25">
      <c r="L178"/>
      <c r="M178"/>
      <c r="N178"/>
      <c r="O178"/>
      <c r="P178"/>
      <c r="Q178"/>
      <c r="R178"/>
      <c r="S178"/>
      <c r="T178"/>
      <c r="U178"/>
    </row>
    <row r="179" spans="12:21" x14ac:dyDescent="0.25">
      <c r="L179"/>
      <c r="M179"/>
      <c r="N179"/>
      <c r="O179"/>
      <c r="P179"/>
      <c r="Q179"/>
      <c r="R179"/>
      <c r="S179"/>
      <c r="T179"/>
      <c r="U179"/>
    </row>
    <row r="180" spans="12:21" x14ac:dyDescent="0.25">
      <c r="L180"/>
      <c r="M180"/>
      <c r="N180"/>
      <c r="O180"/>
      <c r="P180"/>
      <c r="Q180"/>
      <c r="R180"/>
      <c r="S180"/>
      <c r="T180"/>
      <c r="U180"/>
    </row>
    <row r="181" spans="12:21" x14ac:dyDescent="0.25">
      <c r="L181"/>
      <c r="M181"/>
      <c r="N181"/>
      <c r="O181"/>
      <c r="P181"/>
      <c r="Q181"/>
      <c r="R181"/>
      <c r="S181"/>
      <c r="T181"/>
      <c r="U181"/>
    </row>
    <row r="182" spans="12:21" x14ac:dyDescent="0.25">
      <c r="L182"/>
      <c r="M182"/>
      <c r="N182"/>
      <c r="O182"/>
      <c r="P182"/>
      <c r="Q182"/>
      <c r="R182"/>
      <c r="S182"/>
      <c r="T182"/>
      <c r="U182"/>
    </row>
    <row r="183" spans="12:21" x14ac:dyDescent="0.25">
      <c r="L183"/>
      <c r="M183"/>
      <c r="N183"/>
      <c r="O183"/>
      <c r="P183"/>
      <c r="Q183"/>
      <c r="R183"/>
      <c r="S183"/>
      <c r="T183"/>
      <c r="U183"/>
    </row>
    <row r="184" spans="12:21" x14ac:dyDescent="0.25">
      <c r="L184"/>
      <c r="M184"/>
      <c r="N184"/>
      <c r="O184"/>
      <c r="P184"/>
      <c r="Q184"/>
      <c r="R184"/>
      <c r="S184"/>
      <c r="T184"/>
      <c r="U184"/>
    </row>
    <row r="185" spans="12:21" x14ac:dyDescent="0.25">
      <c r="L185"/>
      <c r="M185"/>
      <c r="N185"/>
      <c r="O185"/>
      <c r="P185"/>
      <c r="Q185"/>
      <c r="R185"/>
      <c r="S185"/>
      <c r="T185"/>
      <c r="U185"/>
    </row>
    <row r="186" spans="12:21" x14ac:dyDescent="0.25">
      <c r="L186"/>
      <c r="M186"/>
      <c r="N186"/>
      <c r="O186"/>
      <c r="P186"/>
      <c r="Q186"/>
      <c r="R186"/>
      <c r="S186"/>
      <c r="T186"/>
      <c r="U186"/>
    </row>
    <row r="187" spans="12:21" x14ac:dyDescent="0.25">
      <c r="L187"/>
      <c r="M187"/>
      <c r="N187"/>
      <c r="O187"/>
      <c r="P187"/>
      <c r="Q187"/>
      <c r="R187"/>
      <c r="S187"/>
      <c r="T187"/>
      <c r="U187"/>
    </row>
    <row r="188" spans="12:21" x14ac:dyDescent="0.25">
      <c r="L188"/>
      <c r="M188"/>
      <c r="N188"/>
      <c r="O188"/>
      <c r="P188"/>
      <c r="Q188"/>
      <c r="R188"/>
      <c r="S188"/>
      <c r="T188"/>
      <c r="U188"/>
    </row>
    <row r="189" spans="12:21" x14ac:dyDescent="0.25">
      <c r="L189"/>
      <c r="M189"/>
      <c r="N189"/>
      <c r="O189"/>
      <c r="P189"/>
      <c r="Q189"/>
      <c r="R189"/>
      <c r="S189"/>
      <c r="T189"/>
      <c r="U189"/>
    </row>
    <row r="190" spans="12:21" x14ac:dyDescent="0.25">
      <c r="L190"/>
      <c r="M190"/>
      <c r="N190"/>
      <c r="O190"/>
      <c r="P190"/>
      <c r="Q190"/>
      <c r="R190"/>
      <c r="S190"/>
      <c r="T190"/>
      <c r="U190"/>
    </row>
    <row r="191" spans="12:21" x14ac:dyDescent="0.25">
      <c r="L191"/>
      <c r="M191"/>
      <c r="N191"/>
      <c r="O191"/>
      <c r="P191"/>
      <c r="Q191"/>
      <c r="R191"/>
      <c r="S191"/>
      <c r="T191"/>
      <c r="U191"/>
    </row>
    <row r="192" spans="12:21" x14ac:dyDescent="0.25">
      <c r="L192"/>
      <c r="M192"/>
      <c r="N192"/>
      <c r="O192"/>
      <c r="P192"/>
      <c r="Q192"/>
      <c r="R192"/>
      <c r="S192"/>
      <c r="T192"/>
      <c r="U192"/>
    </row>
    <row r="193" spans="12:21" x14ac:dyDescent="0.25">
      <c r="L193"/>
      <c r="M193"/>
      <c r="N193"/>
      <c r="O193"/>
      <c r="P193"/>
      <c r="Q193"/>
      <c r="R193"/>
      <c r="S193"/>
      <c r="T193"/>
      <c r="U193"/>
    </row>
    <row r="194" spans="12:21" x14ac:dyDescent="0.25">
      <c r="L194"/>
      <c r="M194"/>
      <c r="N194"/>
      <c r="O194"/>
      <c r="P194"/>
      <c r="Q194"/>
      <c r="R194"/>
      <c r="S194"/>
      <c r="T194"/>
      <c r="U194"/>
    </row>
    <row r="195" spans="12:21" x14ac:dyDescent="0.25">
      <c r="L195"/>
      <c r="M195"/>
      <c r="N195"/>
      <c r="O195"/>
      <c r="P195"/>
      <c r="Q195"/>
      <c r="R195"/>
      <c r="S195"/>
      <c r="T195"/>
      <c r="U195"/>
    </row>
    <row r="196" spans="12:21" x14ac:dyDescent="0.25">
      <c r="L196"/>
      <c r="M196"/>
      <c r="N196"/>
      <c r="O196"/>
      <c r="P196"/>
      <c r="Q196"/>
      <c r="R196"/>
      <c r="S196"/>
      <c r="T196"/>
      <c r="U196"/>
    </row>
    <row r="197" spans="12:21" x14ac:dyDescent="0.25">
      <c r="L197"/>
      <c r="M197"/>
      <c r="N197"/>
      <c r="O197"/>
      <c r="P197"/>
      <c r="Q197"/>
      <c r="R197"/>
      <c r="S197"/>
      <c r="T197"/>
      <c r="U197"/>
    </row>
    <row r="198" spans="12:21" x14ac:dyDescent="0.25">
      <c r="L198"/>
      <c r="M198"/>
      <c r="N198"/>
      <c r="O198"/>
      <c r="P198"/>
      <c r="Q198"/>
      <c r="R198"/>
      <c r="S198"/>
      <c r="T198"/>
      <c r="U198"/>
    </row>
    <row r="199" spans="12:21" x14ac:dyDescent="0.25">
      <c r="L199"/>
      <c r="M199"/>
      <c r="N199"/>
      <c r="O199"/>
      <c r="P199"/>
      <c r="Q199"/>
      <c r="R199"/>
      <c r="S199"/>
      <c r="T199"/>
      <c r="U199"/>
    </row>
    <row r="200" spans="12:21" x14ac:dyDescent="0.25">
      <c r="L200"/>
      <c r="M200"/>
      <c r="N200"/>
      <c r="O200"/>
      <c r="P200"/>
      <c r="Q200"/>
      <c r="R200"/>
      <c r="S200"/>
      <c r="T200"/>
      <c r="U200"/>
    </row>
    <row r="201" spans="12:21" x14ac:dyDescent="0.25">
      <c r="L201"/>
      <c r="M201"/>
      <c r="N201"/>
      <c r="O201"/>
      <c r="P201"/>
      <c r="Q201"/>
      <c r="R201"/>
      <c r="S201"/>
      <c r="T201"/>
      <c r="U201"/>
    </row>
    <row r="202" spans="12:21" x14ac:dyDescent="0.25">
      <c r="L202"/>
      <c r="M202"/>
      <c r="N202"/>
      <c r="O202"/>
      <c r="P202"/>
      <c r="Q202"/>
      <c r="R202"/>
      <c r="S202"/>
      <c r="T202"/>
      <c r="U202"/>
    </row>
    <row r="203" spans="12:21" x14ac:dyDescent="0.25">
      <c r="L203"/>
      <c r="M203"/>
      <c r="N203"/>
      <c r="O203"/>
      <c r="P203"/>
      <c r="Q203"/>
      <c r="R203"/>
      <c r="S203"/>
      <c r="T203"/>
      <c r="U203"/>
    </row>
    <row r="204" spans="12:21" x14ac:dyDescent="0.25">
      <c r="L204"/>
      <c r="M204"/>
      <c r="N204"/>
      <c r="O204"/>
      <c r="P204"/>
      <c r="Q204"/>
      <c r="R204"/>
      <c r="S204"/>
      <c r="T204"/>
      <c r="U204"/>
    </row>
    <row r="205" spans="12:21" x14ac:dyDescent="0.25">
      <c r="L205"/>
      <c r="M205"/>
      <c r="N205"/>
      <c r="O205"/>
      <c r="P205"/>
      <c r="Q205"/>
      <c r="R205"/>
      <c r="S205"/>
      <c r="T205"/>
      <c r="U205"/>
    </row>
    <row r="206" spans="12:21" x14ac:dyDescent="0.25">
      <c r="L206"/>
      <c r="M206"/>
      <c r="N206"/>
      <c r="O206"/>
      <c r="P206"/>
      <c r="Q206"/>
      <c r="R206"/>
      <c r="S206"/>
      <c r="T206"/>
      <c r="U206"/>
    </row>
    <row r="207" spans="12:21" x14ac:dyDescent="0.25">
      <c r="L207"/>
      <c r="M207"/>
      <c r="N207"/>
      <c r="O207"/>
      <c r="P207"/>
      <c r="Q207"/>
      <c r="R207"/>
      <c r="S207"/>
      <c r="T207"/>
      <c r="U207"/>
    </row>
    <row r="208" spans="12:21" x14ac:dyDescent="0.25">
      <c r="L208"/>
      <c r="M208"/>
      <c r="N208"/>
      <c r="O208"/>
      <c r="P208"/>
      <c r="Q208"/>
      <c r="R208"/>
      <c r="S208"/>
      <c r="T208"/>
      <c r="U208"/>
    </row>
    <row r="209" spans="12:21" x14ac:dyDescent="0.25">
      <c r="L209"/>
      <c r="M209"/>
      <c r="N209"/>
      <c r="O209"/>
      <c r="P209"/>
      <c r="Q209"/>
      <c r="R209"/>
      <c r="S209"/>
      <c r="T209"/>
      <c r="U209"/>
    </row>
    <row r="210" spans="12:21" x14ac:dyDescent="0.25">
      <c r="L210"/>
      <c r="M210"/>
      <c r="N210"/>
      <c r="O210"/>
      <c r="P210"/>
      <c r="Q210"/>
      <c r="R210"/>
      <c r="S210"/>
      <c r="T210"/>
      <c r="U210"/>
    </row>
    <row r="211" spans="12:21" x14ac:dyDescent="0.25">
      <c r="L211"/>
      <c r="M211"/>
      <c r="N211"/>
      <c r="O211"/>
      <c r="P211"/>
      <c r="Q211"/>
      <c r="R211"/>
      <c r="S211"/>
      <c r="T211"/>
      <c r="U211"/>
    </row>
    <row r="212" spans="12:21" x14ac:dyDescent="0.25">
      <c r="L212"/>
      <c r="M212"/>
      <c r="N212"/>
      <c r="O212"/>
      <c r="P212"/>
      <c r="Q212"/>
      <c r="R212"/>
      <c r="S212"/>
      <c r="T212"/>
      <c r="U212"/>
    </row>
    <row r="213" spans="12:21" x14ac:dyDescent="0.25">
      <c r="L213"/>
      <c r="M213"/>
      <c r="N213"/>
      <c r="O213"/>
      <c r="P213"/>
      <c r="Q213"/>
      <c r="R213"/>
      <c r="S213"/>
      <c r="T213"/>
      <c r="U213"/>
    </row>
    <row r="214" spans="12:21" x14ac:dyDescent="0.25">
      <c r="L214"/>
      <c r="M214"/>
      <c r="N214"/>
      <c r="O214"/>
      <c r="P214"/>
      <c r="Q214"/>
      <c r="R214"/>
      <c r="S214"/>
      <c r="T214"/>
      <c r="U214"/>
    </row>
    <row r="215" spans="12:21" x14ac:dyDescent="0.25">
      <c r="L215"/>
      <c r="M215"/>
      <c r="N215"/>
      <c r="O215"/>
      <c r="P215"/>
      <c r="Q215"/>
      <c r="R215"/>
      <c r="S215"/>
      <c r="T215"/>
      <c r="U215"/>
    </row>
    <row r="216" spans="12:21" x14ac:dyDescent="0.25">
      <c r="L216"/>
      <c r="M216"/>
      <c r="N216"/>
      <c r="O216"/>
      <c r="P216"/>
      <c r="Q216"/>
      <c r="R216"/>
      <c r="S216"/>
      <c r="T216"/>
      <c r="U216"/>
    </row>
    <row r="217" spans="12:21" x14ac:dyDescent="0.25">
      <c r="L217"/>
      <c r="M217"/>
      <c r="N217"/>
      <c r="O217"/>
      <c r="P217"/>
      <c r="Q217"/>
      <c r="R217"/>
      <c r="S217"/>
      <c r="T217"/>
      <c r="U217"/>
    </row>
    <row r="218" spans="12:21" x14ac:dyDescent="0.25">
      <c r="L218"/>
      <c r="M218"/>
      <c r="N218"/>
      <c r="O218"/>
      <c r="P218"/>
      <c r="Q218"/>
      <c r="R218"/>
      <c r="S218"/>
      <c r="T218"/>
      <c r="U218"/>
    </row>
    <row r="219" spans="12:21" x14ac:dyDescent="0.25">
      <c r="L219"/>
      <c r="M219"/>
      <c r="N219"/>
      <c r="O219"/>
      <c r="P219"/>
      <c r="Q219"/>
      <c r="R219"/>
      <c r="S219"/>
      <c r="T219"/>
      <c r="U219"/>
    </row>
    <row r="220" spans="12:21" x14ac:dyDescent="0.25">
      <c r="L220"/>
      <c r="M220"/>
      <c r="N220"/>
      <c r="O220"/>
      <c r="P220"/>
      <c r="Q220"/>
      <c r="R220"/>
      <c r="S220"/>
      <c r="T220"/>
      <c r="U220"/>
    </row>
    <row r="221" spans="12:21" x14ac:dyDescent="0.25">
      <c r="L221"/>
      <c r="M221"/>
      <c r="N221"/>
      <c r="O221"/>
      <c r="P221"/>
      <c r="Q221"/>
      <c r="R221"/>
      <c r="S221"/>
      <c r="T221"/>
      <c r="U221"/>
    </row>
    <row r="222" spans="12:21" x14ac:dyDescent="0.25">
      <c r="L222"/>
      <c r="M222"/>
      <c r="N222"/>
      <c r="O222"/>
      <c r="P222"/>
      <c r="Q222"/>
      <c r="R222"/>
      <c r="S222"/>
      <c r="T222"/>
      <c r="U222"/>
    </row>
    <row r="223" spans="12:21" x14ac:dyDescent="0.25">
      <c r="L223"/>
      <c r="M223"/>
      <c r="N223"/>
      <c r="O223"/>
      <c r="P223"/>
      <c r="Q223"/>
      <c r="R223"/>
      <c r="S223"/>
      <c r="T223"/>
      <c r="U223"/>
    </row>
    <row r="224" spans="12:21" x14ac:dyDescent="0.25">
      <c r="L224"/>
      <c r="M224"/>
      <c r="N224"/>
      <c r="O224"/>
      <c r="P224"/>
      <c r="Q224"/>
      <c r="R224"/>
      <c r="S224"/>
      <c r="T224"/>
      <c r="U224"/>
    </row>
    <row r="225" spans="12:21" x14ac:dyDescent="0.25">
      <c r="L225"/>
      <c r="M225"/>
      <c r="N225"/>
      <c r="O225"/>
      <c r="P225"/>
      <c r="Q225"/>
      <c r="R225"/>
      <c r="S225"/>
      <c r="T225"/>
      <c r="U225"/>
    </row>
    <row r="226" spans="12:21" x14ac:dyDescent="0.25">
      <c r="L226"/>
      <c r="M226"/>
      <c r="N226"/>
      <c r="O226"/>
      <c r="P226"/>
      <c r="Q226"/>
      <c r="R226"/>
      <c r="S226"/>
      <c r="T226"/>
      <c r="U226"/>
    </row>
    <row r="227" spans="12:21" x14ac:dyDescent="0.25">
      <c r="L227"/>
      <c r="M227"/>
      <c r="N227"/>
      <c r="O227"/>
      <c r="P227"/>
      <c r="Q227"/>
      <c r="R227"/>
      <c r="S227"/>
      <c r="T227"/>
      <c r="U227"/>
    </row>
    <row r="228" spans="12:21" x14ac:dyDescent="0.25">
      <c r="L228"/>
      <c r="M228"/>
      <c r="N228"/>
      <c r="O228"/>
      <c r="P228"/>
      <c r="Q228"/>
      <c r="R228"/>
      <c r="S228"/>
      <c r="T228"/>
      <c r="U228"/>
    </row>
    <row r="229" spans="12:21" x14ac:dyDescent="0.25">
      <c r="L229"/>
      <c r="M229"/>
      <c r="N229"/>
      <c r="O229"/>
      <c r="P229"/>
      <c r="Q229"/>
      <c r="R229"/>
      <c r="S229"/>
      <c r="T229"/>
      <c r="U229"/>
    </row>
    <row r="230" spans="12:21" x14ac:dyDescent="0.25">
      <c r="L230"/>
      <c r="M230"/>
      <c r="N230"/>
      <c r="O230"/>
      <c r="P230"/>
      <c r="Q230"/>
      <c r="R230"/>
      <c r="S230"/>
      <c r="T230"/>
      <c r="U230"/>
    </row>
    <row r="231" spans="12:21" x14ac:dyDescent="0.25">
      <c r="L231"/>
      <c r="M231"/>
      <c r="N231"/>
      <c r="O231"/>
      <c r="P231"/>
      <c r="Q231"/>
      <c r="R231"/>
      <c r="S231"/>
      <c r="T231"/>
      <c r="U231"/>
    </row>
    <row r="232" spans="12:21" x14ac:dyDescent="0.25">
      <c r="L232"/>
      <c r="M232"/>
      <c r="N232"/>
      <c r="O232"/>
      <c r="P232"/>
      <c r="Q232"/>
      <c r="R232"/>
      <c r="S232"/>
      <c r="T232"/>
      <c r="U232"/>
    </row>
    <row r="233" spans="12:21" x14ac:dyDescent="0.25">
      <c r="L233"/>
      <c r="M233"/>
      <c r="N233"/>
      <c r="O233"/>
      <c r="P233"/>
      <c r="Q233"/>
      <c r="R233"/>
      <c r="S233"/>
      <c r="T233"/>
      <c r="U233"/>
    </row>
    <row r="234" spans="12:21" x14ac:dyDescent="0.25">
      <c r="L234"/>
      <c r="M234"/>
      <c r="N234"/>
      <c r="O234"/>
      <c r="P234"/>
      <c r="Q234"/>
      <c r="R234"/>
      <c r="S234"/>
      <c r="T234"/>
      <c r="U234"/>
    </row>
    <row r="235" spans="12:21" x14ac:dyDescent="0.25">
      <c r="L235"/>
      <c r="M235"/>
      <c r="N235"/>
      <c r="O235"/>
      <c r="P235"/>
      <c r="Q235"/>
      <c r="R235"/>
      <c r="S235"/>
      <c r="T235"/>
      <c r="U235"/>
    </row>
    <row r="236" spans="12:21" x14ac:dyDescent="0.25">
      <c r="L236"/>
      <c r="M236"/>
      <c r="N236"/>
      <c r="O236"/>
      <c r="P236"/>
      <c r="Q236"/>
      <c r="R236"/>
      <c r="S236"/>
      <c r="T236"/>
      <c r="U236"/>
    </row>
    <row r="237" spans="12:21" x14ac:dyDescent="0.25">
      <c r="L237"/>
      <c r="M237"/>
      <c r="N237"/>
      <c r="O237"/>
      <c r="P237"/>
      <c r="Q237"/>
      <c r="R237"/>
      <c r="S237"/>
      <c r="T237"/>
      <c r="U237"/>
    </row>
    <row r="238" spans="12:21" x14ac:dyDescent="0.25">
      <c r="L238"/>
      <c r="M238"/>
      <c r="N238"/>
      <c r="O238"/>
      <c r="P238"/>
      <c r="Q238"/>
      <c r="R238"/>
      <c r="S238"/>
      <c r="T238"/>
      <c r="U238"/>
    </row>
    <row r="239" spans="12:21" x14ac:dyDescent="0.25">
      <c r="L239"/>
      <c r="M239"/>
      <c r="N239"/>
      <c r="O239"/>
      <c r="P239"/>
      <c r="Q239"/>
      <c r="R239"/>
      <c r="S239"/>
      <c r="T239"/>
      <c r="U239"/>
    </row>
    <row r="240" spans="12:21" x14ac:dyDescent="0.25">
      <c r="L240"/>
      <c r="M240"/>
      <c r="N240"/>
      <c r="O240"/>
      <c r="P240"/>
      <c r="Q240"/>
      <c r="R240"/>
      <c r="S240"/>
      <c r="T240"/>
      <c r="U240"/>
    </row>
    <row r="241" spans="12:21" x14ac:dyDescent="0.25">
      <c r="L241"/>
      <c r="M241"/>
      <c r="N241"/>
      <c r="O241"/>
      <c r="P241"/>
      <c r="Q241"/>
      <c r="R241"/>
      <c r="S241"/>
      <c r="T241"/>
      <c r="U241"/>
    </row>
    <row r="242" spans="12:21" x14ac:dyDescent="0.25">
      <c r="L242"/>
      <c r="M242"/>
      <c r="N242"/>
      <c r="O242"/>
      <c r="P242"/>
      <c r="Q242"/>
      <c r="R242"/>
      <c r="S242"/>
      <c r="T242"/>
      <c r="U242"/>
    </row>
    <row r="243" spans="12:21" x14ac:dyDescent="0.25">
      <c r="L243"/>
      <c r="M243"/>
      <c r="N243"/>
      <c r="O243"/>
      <c r="P243"/>
      <c r="Q243"/>
      <c r="R243"/>
      <c r="S243"/>
      <c r="T243"/>
      <c r="U243"/>
    </row>
    <row r="244" spans="12:21" x14ac:dyDescent="0.25">
      <c r="L244"/>
      <c r="M244"/>
      <c r="N244"/>
      <c r="O244"/>
      <c r="P244"/>
      <c r="Q244"/>
      <c r="R244"/>
      <c r="S244"/>
      <c r="T244"/>
      <c r="U244"/>
    </row>
    <row r="245" spans="12:21" x14ac:dyDescent="0.25">
      <c r="L245"/>
      <c r="M245"/>
      <c r="N245"/>
      <c r="O245"/>
      <c r="P245"/>
      <c r="Q245"/>
      <c r="R245"/>
      <c r="S245"/>
      <c r="T245"/>
      <c r="U245"/>
    </row>
    <row r="246" spans="12:21" x14ac:dyDescent="0.25">
      <c r="L246"/>
      <c r="M246"/>
      <c r="N246"/>
      <c r="O246"/>
      <c r="P246"/>
      <c r="Q246"/>
      <c r="R246"/>
      <c r="S246"/>
      <c r="T246"/>
      <c r="U246"/>
    </row>
    <row r="247" spans="12:21" x14ac:dyDescent="0.25">
      <c r="L247"/>
      <c r="M247"/>
      <c r="N247"/>
      <c r="O247"/>
      <c r="P247"/>
      <c r="Q247"/>
      <c r="R247"/>
      <c r="S247"/>
      <c r="T247"/>
      <c r="U247"/>
    </row>
    <row r="248" spans="12:21" x14ac:dyDescent="0.25">
      <c r="L248"/>
      <c r="M248"/>
      <c r="N248"/>
      <c r="O248"/>
      <c r="P248"/>
      <c r="Q248"/>
      <c r="R248"/>
      <c r="S248"/>
      <c r="T248"/>
      <c r="U248"/>
    </row>
    <row r="249" spans="12:21" x14ac:dyDescent="0.25">
      <c r="L249"/>
      <c r="M249"/>
      <c r="N249"/>
      <c r="O249"/>
      <c r="P249"/>
      <c r="Q249"/>
      <c r="R249"/>
      <c r="S249"/>
      <c r="T249"/>
      <c r="U249"/>
    </row>
    <row r="250" spans="12:21" x14ac:dyDescent="0.25">
      <c r="L250"/>
      <c r="M250"/>
      <c r="N250"/>
      <c r="O250"/>
      <c r="P250"/>
      <c r="Q250"/>
      <c r="R250"/>
      <c r="S250"/>
      <c r="T250"/>
      <c r="U250"/>
    </row>
    <row r="251" spans="12:21" x14ac:dyDescent="0.25">
      <c r="L251"/>
      <c r="M251"/>
      <c r="N251"/>
      <c r="O251"/>
      <c r="P251"/>
      <c r="Q251"/>
      <c r="R251"/>
      <c r="S251"/>
      <c r="T251"/>
      <c r="U251"/>
    </row>
    <row r="252" spans="12:21" x14ac:dyDescent="0.25">
      <c r="L252"/>
      <c r="M252"/>
      <c r="N252"/>
      <c r="O252"/>
      <c r="P252"/>
      <c r="Q252"/>
      <c r="R252"/>
      <c r="S252"/>
      <c r="T252"/>
      <c r="U252"/>
    </row>
    <row r="253" spans="12:21" x14ac:dyDescent="0.25">
      <c r="L253"/>
      <c r="M253"/>
      <c r="N253"/>
      <c r="O253"/>
      <c r="P253"/>
      <c r="Q253"/>
      <c r="R253"/>
      <c r="S253"/>
      <c r="T253"/>
      <c r="U253"/>
    </row>
    <row r="254" spans="12:21" x14ac:dyDescent="0.25">
      <c r="L254"/>
      <c r="M254"/>
      <c r="N254"/>
      <c r="O254"/>
      <c r="P254"/>
      <c r="Q254"/>
      <c r="R254"/>
      <c r="S254"/>
      <c r="T254"/>
      <c r="U254"/>
    </row>
    <row r="255" spans="12:21" x14ac:dyDescent="0.25">
      <c r="L255"/>
      <c r="M255"/>
      <c r="N255"/>
      <c r="O255"/>
      <c r="P255"/>
      <c r="Q255"/>
      <c r="R255"/>
      <c r="S255"/>
      <c r="T255"/>
      <c r="U255"/>
    </row>
    <row r="256" spans="12:21" x14ac:dyDescent="0.25">
      <c r="L256"/>
      <c r="M256"/>
      <c r="N256"/>
      <c r="O256"/>
      <c r="P256"/>
      <c r="Q256"/>
      <c r="R256"/>
      <c r="S256"/>
      <c r="T256"/>
      <c r="U256"/>
    </row>
    <row r="257" spans="12:21" x14ac:dyDescent="0.25">
      <c r="L257"/>
      <c r="M257"/>
      <c r="N257"/>
      <c r="O257"/>
      <c r="P257"/>
      <c r="Q257"/>
      <c r="R257"/>
      <c r="S257"/>
      <c r="T257"/>
      <c r="U257"/>
    </row>
    <row r="258" spans="12:21" x14ac:dyDescent="0.25">
      <c r="L258"/>
      <c r="M258"/>
      <c r="N258"/>
      <c r="O258"/>
      <c r="P258"/>
      <c r="Q258"/>
      <c r="R258"/>
      <c r="S258"/>
      <c r="T258"/>
      <c r="U258"/>
    </row>
    <row r="259" spans="12:21" x14ac:dyDescent="0.25">
      <c r="L259"/>
      <c r="M259"/>
      <c r="N259"/>
      <c r="O259"/>
      <c r="P259"/>
      <c r="Q259"/>
      <c r="R259"/>
      <c r="S259"/>
      <c r="T259"/>
      <c r="U259"/>
    </row>
    <row r="260" spans="12:21" x14ac:dyDescent="0.25">
      <c r="L260"/>
      <c r="M260"/>
      <c r="N260"/>
      <c r="O260"/>
      <c r="P260"/>
      <c r="Q260"/>
      <c r="R260"/>
      <c r="S260"/>
      <c r="T260"/>
      <c r="U260"/>
    </row>
    <row r="261" spans="12:21" x14ac:dyDescent="0.25">
      <c r="L261"/>
      <c r="M261"/>
      <c r="N261"/>
      <c r="O261"/>
      <c r="P261"/>
      <c r="Q261"/>
      <c r="R261"/>
      <c r="S261"/>
      <c r="T261"/>
      <c r="U261"/>
    </row>
    <row r="262" spans="12:21" x14ac:dyDescent="0.25">
      <c r="L262"/>
      <c r="M262"/>
      <c r="N262"/>
      <c r="O262"/>
      <c r="P262"/>
      <c r="Q262"/>
      <c r="R262"/>
      <c r="S262"/>
      <c r="T262"/>
      <c r="U262"/>
    </row>
    <row r="263" spans="12:21" x14ac:dyDescent="0.25">
      <c r="L263"/>
      <c r="M263"/>
      <c r="N263"/>
      <c r="O263"/>
      <c r="P263"/>
      <c r="Q263"/>
      <c r="R263"/>
      <c r="S263"/>
      <c r="T263"/>
      <c r="U263"/>
    </row>
    <row r="264" spans="12:21" x14ac:dyDescent="0.25">
      <c r="L264"/>
      <c r="M264"/>
      <c r="N264"/>
      <c r="O264"/>
      <c r="P264"/>
      <c r="Q264"/>
      <c r="R264"/>
      <c r="S264"/>
      <c r="T264"/>
      <c r="U264"/>
    </row>
    <row r="265" spans="12:21" x14ac:dyDescent="0.25">
      <c r="L265"/>
      <c r="M265"/>
      <c r="N265"/>
      <c r="O265"/>
      <c r="P265"/>
      <c r="Q265"/>
      <c r="R265"/>
      <c r="S265"/>
      <c r="T265"/>
      <c r="U265"/>
    </row>
    <row r="266" spans="12:21" x14ac:dyDescent="0.25">
      <c r="L266"/>
      <c r="M266"/>
      <c r="N266"/>
      <c r="O266"/>
      <c r="P266"/>
      <c r="Q266"/>
      <c r="R266"/>
      <c r="S266"/>
      <c r="T266"/>
      <c r="U266"/>
    </row>
    <row r="267" spans="12:21" x14ac:dyDescent="0.25">
      <c r="L267"/>
      <c r="M267"/>
      <c r="N267"/>
      <c r="O267"/>
      <c r="P267"/>
      <c r="Q267"/>
      <c r="R267"/>
      <c r="S267"/>
      <c r="T267"/>
      <c r="U267"/>
    </row>
    <row r="268" spans="12:21" x14ac:dyDescent="0.25">
      <c r="L268"/>
      <c r="M268"/>
      <c r="N268"/>
      <c r="O268"/>
      <c r="P268"/>
      <c r="Q268"/>
      <c r="R268"/>
      <c r="S268"/>
      <c r="T268"/>
      <c r="U268"/>
    </row>
    <row r="269" spans="12:21" x14ac:dyDescent="0.25">
      <c r="L269"/>
      <c r="M269"/>
      <c r="N269"/>
      <c r="O269"/>
      <c r="P269"/>
      <c r="Q269"/>
      <c r="R269"/>
      <c r="S269"/>
      <c r="T269"/>
      <c r="U269"/>
    </row>
    <row r="270" spans="12:21" x14ac:dyDescent="0.25">
      <c r="L270"/>
      <c r="M270"/>
      <c r="N270"/>
      <c r="O270"/>
      <c r="P270"/>
      <c r="Q270"/>
      <c r="R270"/>
      <c r="S270"/>
      <c r="T270"/>
      <c r="U270"/>
    </row>
    <row r="271" spans="12:21" x14ac:dyDescent="0.25">
      <c r="L271"/>
      <c r="M271"/>
      <c r="N271"/>
      <c r="O271"/>
      <c r="P271"/>
      <c r="Q271"/>
      <c r="R271"/>
      <c r="S271"/>
      <c r="T271"/>
      <c r="U271"/>
    </row>
    <row r="272" spans="12:21" x14ac:dyDescent="0.25">
      <c r="L272"/>
      <c r="M272"/>
      <c r="N272"/>
      <c r="O272"/>
      <c r="P272"/>
      <c r="Q272"/>
      <c r="R272"/>
      <c r="S272"/>
      <c r="T272"/>
      <c r="U272"/>
    </row>
    <row r="273" spans="12:21" x14ac:dyDescent="0.25">
      <c r="L273"/>
      <c r="M273"/>
      <c r="N273"/>
      <c r="O273"/>
      <c r="P273"/>
      <c r="Q273"/>
      <c r="R273"/>
      <c r="S273"/>
      <c r="T273"/>
      <c r="U273"/>
    </row>
    <row r="274" spans="12:21" x14ac:dyDescent="0.25">
      <c r="L274"/>
      <c r="M274"/>
      <c r="N274"/>
      <c r="O274"/>
      <c r="P274"/>
      <c r="Q274"/>
      <c r="R274"/>
      <c r="S274"/>
      <c r="T274"/>
      <c r="U274"/>
    </row>
    <row r="275" spans="12:21" x14ac:dyDescent="0.25">
      <c r="L275"/>
      <c r="M275"/>
      <c r="N275"/>
      <c r="O275"/>
      <c r="P275"/>
      <c r="Q275"/>
      <c r="R275"/>
      <c r="S275"/>
      <c r="T275"/>
      <c r="U275"/>
    </row>
    <row r="276" spans="12:21" x14ac:dyDescent="0.25">
      <c r="L276"/>
      <c r="M276"/>
      <c r="N276"/>
      <c r="O276"/>
      <c r="P276"/>
      <c r="Q276"/>
      <c r="R276"/>
      <c r="S276"/>
      <c r="T276"/>
      <c r="U276"/>
    </row>
    <row r="277" spans="12:21" x14ac:dyDescent="0.25">
      <c r="L277"/>
      <c r="M277"/>
      <c r="N277"/>
      <c r="O277"/>
      <c r="P277"/>
      <c r="Q277"/>
      <c r="R277"/>
      <c r="S277"/>
      <c r="T277"/>
      <c r="U277"/>
    </row>
    <row r="278" spans="12:21" x14ac:dyDescent="0.25">
      <c r="L278"/>
      <c r="M278"/>
      <c r="N278"/>
      <c r="O278"/>
      <c r="P278"/>
      <c r="Q278"/>
      <c r="R278"/>
      <c r="S278"/>
      <c r="T278"/>
      <c r="U278"/>
    </row>
    <row r="279" spans="12:21" x14ac:dyDescent="0.25">
      <c r="L279"/>
      <c r="M279"/>
      <c r="N279"/>
      <c r="O279"/>
      <c r="P279"/>
      <c r="Q279"/>
      <c r="R279"/>
      <c r="S279"/>
      <c r="T279"/>
      <c r="U279"/>
    </row>
    <row r="280" spans="12:21" x14ac:dyDescent="0.25">
      <c r="L280"/>
      <c r="M280"/>
      <c r="N280"/>
      <c r="O280"/>
      <c r="P280"/>
      <c r="Q280"/>
      <c r="R280"/>
      <c r="S280"/>
      <c r="T280"/>
      <c r="U280"/>
    </row>
    <row r="281" spans="12:21" x14ac:dyDescent="0.25">
      <c r="L281"/>
      <c r="M281"/>
      <c r="N281"/>
      <c r="O281"/>
      <c r="P281"/>
      <c r="Q281"/>
      <c r="R281"/>
      <c r="S281"/>
      <c r="T281"/>
      <c r="U281"/>
    </row>
    <row r="282" spans="12:21" x14ac:dyDescent="0.25">
      <c r="L282"/>
      <c r="M282"/>
      <c r="N282"/>
      <c r="O282"/>
      <c r="P282"/>
      <c r="Q282"/>
      <c r="R282"/>
      <c r="S282"/>
      <c r="T282"/>
      <c r="U282"/>
    </row>
    <row r="283" spans="12:21" x14ac:dyDescent="0.25">
      <c r="L283"/>
      <c r="M283"/>
      <c r="N283"/>
      <c r="O283"/>
      <c r="P283"/>
      <c r="Q283"/>
      <c r="R283"/>
      <c r="S283"/>
      <c r="T283"/>
      <c r="U283"/>
    </row>
    <row r="284" spans="12:21" x14ac:dyDescent="0.25">
      <c r="L284"/>
      <c r="M284"/>
      <c r="N284"/>
      <c r="O284"/>
      <c r="P284"/>
      <c r="Q284"/>
      <c r="R284"/>
      <c r="S284"/>
      <c r="T284"/>
      <c r="U284"/>
    </row>
    <row r="285" spans="12:21" x14ac:dyDescent="0.25">
      <c r="L285"/>
      <c r="M285"/>
      <c r="N285"/>
      <c r="O285"/>
      <c r="P285"/>
      <c r="Q285"/>
      <c r="R285"/>
      <c r="S285"/>
      <c r="T285"/>
      <c r="U285"/>
    </row>
    <row r="286" spans="12:21" x14ac:dyDescent="0.25">
      <c r="L286"/>
      <c r="M286"/>
      <c r="N286"/>
      <c r="O286"/>
      <c r="P286"/>
      <c r="Q286"/>
      <c r="R286"/>
      <c r="S286"/>
      <c r="T286"/>
      <c r="U286"/>
    </row>
    <row r="287" spans="12:21" x14ac:dyDescent="0.25">
      <c r="L287"/>
      <c r="M287"/>
      <c r="N287"/>
      <c r="O287"/>
      <c r="P287"/>
      <c r="Q287"/>
      <c r="R287"/>
      <c r="S287"/>
      <c r="T287"/>
      <c r="U287"/>
    </row>
    <row r="288" spans="12:21" x14ac:dyDescent="0.25">
      <c r="L288"/>
      <c r="M288"/>
      <c r="N288"/>
      <c r="O288"/>
      <c r="P288"/>
      <c r="Q288"/>
      <c r="R288"/>
      <c r="S288"/>
      <c r="T288"/>
      <c r="U288"/>
    </row>
    <row r="289" spans="12:21" x14ac:dyDescent="0.25">
      <c r="L289"/>
      <c r="M289"/>
      <c r="N289"/>
      <c r="O289"/>
      <c r="P289"/>
      <c r="Q289"/>
      <c r="R289"/>
      <c r="S289"/>
      <c r="T289"/>
      <c r="U289"/>
    </row>
    <row r="290" spans="12:21" x14ac:dyDescent="0.25">
      <c r="L290"/>
      <c r="M290"/>
      <c r="N290"/>
      <c r="O290"/>
      <c r="P290"/>
      <c r="Q290"/>
      <c r="R290"/>
      <c r="S290"/>
      <c r="T290"/>
      <c r="U290"/>
    </row>
    <row r="291" spans="12:21" x14ac:dyDescent="0.25">
      <c r="L291"/>
      <c r="M291"/>
      <c r="N291"/>
      <c r="O291"/>
      <c r="P291"/>
      <c r="Q291"/>
      <c r="R291"/>
      <c r="S291"/>
      <c r="T291"/>
      <c r="U291"/>
    </row>
    <row r="292" spans="12:21" x14ac:dyDescent="0.25">
      <c r="L292"/>
      <c r="M292"/>
      <c r="N292"/>
      <c r="O292"/>
      <c r="P292"/>
      <c r="Q292"/>
      <c r="R292"/>
      <c r="S292"/>
      <c r="T292"/>
      <c r="U292"/>
    </row>
    <row r="293" spans="12:21" x14ac:dyDescent="0.25">
      <c r="L293"/>
      <c r="M293"/>
      <c r="N293"/>
      <c r="O293"/>
      <c r="P293"/>
      <c r="Q293"/>
      <c r="R293"/>
      <c r="S293"/>
      <c r="T293"/>
      <c r="U293"/>
    </row>
    <row r="294" spans="12:21" x14ac:dyDescent="0.25">
      <c r="L294"/>
      <c r="M294"/>
      <c r="N294"/>
      <c r="O294"/>
      <c r="P294"/>
      <c r="Q294"/>
      <c r="R294"/>
      <c r="S294"/>
      <c r="T294"/>
      <c r="U294"/>
    </row>
    <row r="295" spans="12:21" x14ac:dyDescent="0.25">
      <c r="L295"/>
      <c r="M295"/>
      <c r="N295"/>
      <c r="O295"/>
      <c r="P295"/>
      <c r="Q295"/>
      <c r="R295"/>
      <c r="S295"/>
      <c r="T295"/>
      <c r="U295"/>
    </row>
    <row r="296" spans="12:21" x14ac:dyDescent="0.25">
      <c r="L296"/>
      <c r="M296"/>
      <c r="N296"/>
      <c r="O296"/>
      <c r="P296"/>
      <c r="Q296"/>
      <c r="R296"/>
      <c r="S296"/>
      <c r="T296"/>
      <c r="U296"/>
    </row>
    <row r="297" spans="12:21" x14ac:dyDescent="0.25">
      <c r="L297"/>
      <c r="M297"/>
      <c r="N297"/>
      <c r="O297"/>
      <c r="P297"/>
      <c r="Q297"/>
      <c r="R297"/>
      <c r="S297"/>
      <c r="T297"/>
      <c r="U297"/>
    </row>
    <row r="298" spans="12:21" x14ac:dyDescent="0.25">
      <c r="L298"/>
      <c r="M298"/>
      <c r="N298"/>
      <c r="O298"/>
      <c r="P298"/>
      <c r="Q298"/>
      <c r="R298"/>
      <c r="S298"/>
      <c r="T298"/>
      <c r="U298"/>
    </row>
    <row r="299" spans="12:21" x14ac:dyDescent="0.25">
      <c r="L299"/>
      <c r="M299"/>
      <c r="N299"/>
      <c r="O299"/>
      <c r="P299"/>
      <c r="Q299"/>
      <c r="R299"/>
      <c r="S299"/>
      <c r="T299"/>
      <c r="U299"/>
    </row>
    <row r="300" spans="12:21" x14ac:dyDescent="0.25">
      <c r="L300"/>
      <c r="M300"/>
      <c r="N300"/>
      <c r="O300"/>
      <c r="P300"/>
      <c r="Q300"/>
      <c r="R300"/>
      <c r="S300"/>
      <c r="T300"/>
      <c r="U300"/>
    </row>
    <row r="301" spans="12:21" x14ac:dyDescent="0.25">
      <c r="L301"/>
      <c r="M301"/>
      <c r="N301"/>
      <c r="O301"/>
      <c r="P301"/>
      <c r="Q301"/>
      <c r="R301"/>
      <c r="S301"/>
      <c r="T301"/>
      <c r="U301"/>
    </row>
    <row r="302" spans="12:21" x14ac:dyDescent="0.25">
      <c r="L302"/>
      <c r="M302"/>
      <c r="N302"/>
      <c r="O302"/>
      <c r="P302"/>
      <c r="Q302"/>
      <c r="R302"/>
      <c r="S302"/>
      <c r="T302"/>
      <c r="U302"/>
    </row>
    <row r="303" spans="12:21" x14ac:dyDescent="0.25">
      <c r="L303"/>
      <c r="M303"/>
      <c r="N303"/>
      <c r="O303"/>
      <c r="P303"/>
      <c r="Q303"/>
      <c r="R303"/>
      <c r="S303"/>
      <c r="T303"/>
      <c r="U303"/>
    </row>
    <row r="304" spans="12:21" x14ac:dyDescent="0.25">
      <c r="L304"/>
      <c r="M304"/>
      <c r="N304"/>
      <c r="O304"/>
      <c r="P304"/>
      <c r="Q304"/>
      <c r="R304"/>
      <c r="S304"/>
      <c r="T304"/>
      <c r="U304"/>
    </row>
    <row r="305" spans="12:21" x14ac:dyDescent="0.25">
      <c r="L305"/>
      <c r="M305"/>
      <c r="N305"/>
      <c r="O305"/>
      <c r="P305"/>
      <c r="Q305"/>
      <c r="R305"/>
      <c r="S305"/>
      <c r="T305"/>
      <c r="U305"/>
    </row>
    <row r="306" spans="12:21" x14ac:dyDescent="0.25">
      <c r="L306"/>
      <c r="M306"/>
      <c r="N306"/>
      <c r="O306"/>
      <c r="P306"/>
      <c r="Q306"/>
      <c r="R306"/>
      <c r="S306"/>
      <c r="T306"/>
      <c r="U306"/>
    </row>
    <row r="307" spans="12:21" x14ac:dyDescent="0.25">
      <c r="L307"/>
      <c r="M307"/>
      <c r="N307"/>
      <c r="O307"/>
      <c r="P307"/>
      <c r="Q307"/>
      <c r="R307"/>
      <c r="S307"/>
      <c r="T307"/>
      <c r="U307"/>
    </row>
    <row r="308" spans="12:21" x14ac:dyDescent="0.25">
      <c r="L308"/>
      <c r="M308"/>
      <c r="N308"/>
      <c r="O308"/>
      <c r="P308"/>
      <c r="Q308"/>
      <c r="R308"/>
      <c r="S308"/>
      <c r="T308"/>
      <c r="U308"/>
    </row>
    <row r="309" spans="12:21" x14ac:dyDescent="0.25">
      <c r="L309"/>
      <c r="M309"/>
      <c r="N309"/>
      <c r="O309"/>
      <c r="P309"/>
      <c r="Q309"/>
      <c r="R309"/>
      <c r="S309"/>
      <c r="T309"/>
      <c r="U309"/>
    </row>
    <row r="310" spans="12:21" x14ac:dyDescent="0.25">
      <c r="L310"/>
      <c r="M310"/>
      <c r="N310"/>
      <c r="O310"/>
      <c r="P310"/>
      <c r="Q310"/>
      <c r="R310"/>
      <c r="S310"/>
      <c r="T310"/>
      <c r="U310"/>
    </row>
    <row r="311" spans="12:21" x14ac:dyDescent="0.25">
      <c r="L311"/>
      <c r="M311"/>
      <c r="N311"/>
      <c r="O311"/>
      <c r="P311"/>
      <c r="Q311"/>
      <c r="R311"/>
      <c r="S311"/>
      <c r="T311"/>
      <c r="U311"/>
    </row>
    <row r="312" spans="12:21" x14ac:dyDescent="0.25">
      <c r="L312"/>
      <c r="M312"/>
      <c r="N312"/>
      <c r="O312"/>
      <c r="P312"/>
      <c r="Q312"/>
      <c r="R312"/>
      <c r="S312"/>
      <c r="T312"/>
      <c r="U312"/>
    </row>
    <row r="313" spans="12:21" x14ac:dyDescent="0.25">
      <c r="L313"/>
      <c r="M313"/>
      <c r="N313"/>
      <c r="O313"/>
      <c r="P313"/>
      <c r="Q313"/>
      <c r="R313"/>
      <c r="S313"/>
      <c r="T313"/>
      <c r="U313"/>
    </row>
    <row r="314" spans="12:21" x14ac:dyDescent="0.25">
      <c r="L314"/>
      <c r="M314"/>
      <c r="N314"/>
      <c r="O314"/>
      <c r="P314"/>
      <c r="Q314"/>
      <c r="R314"/>
      <c r="S314"/>
      <c r="T314"/>
      <c r="U314"/>
    </row>
    <row r="315" spans="12:21" x14ac:dyDescent="0.25">
      <c r="L315"/>
      <c r="M315"/>
      <c r="N315"/>
      <c r="O315"/>
      <c r="P315"/>
      <c r="Q315"/>
      <c r="R315"/>
      <c r="S315"/>
      <c r="T315"/>
      <c r="U315"/>
    </row>
    <row r="316" spans="12:21" x14ac:dyDescent="0.25">
      <c r="L316"/>
      <c r="M316"/>
      <c r="N316"/>
      <c r="O316"/>
      <c r="P316"/>
      <c r="Q316"/>
      <c r="R316"/>
      <c r="S316"/>
      <c r="T316"/>
      <c r="U316"/>
    </row>
    <row r="317" spans="12:21" x14ac:dyDescent="0.25">
      <c r="L317"/>
      <c r="M317"/>
      <c r="N317"/>
      <c r="O317"/>
      <c r="P317"/>
      <c r="Q317"/>
      <c r="R317"/>
      <c r="S317"/>
      <c r="T317"/>
      <c r="U317"/>
    </row>
    <row r="318" spans="12:21" x14ac:dyDescent="0.25">
      <c r="L318"/>
      <c r="M318"/>
      <c r="N318"/>
      <c r="O318"/>
      <c r="P318"/>
      <c r="Q318"/>
      <c r="R318"/>
      <c r="S318"/>
      <c r="T318"/>
      <c r="U318"/>
    </row>
    <row r="319" spans="12:21" x14ac:dyDescent="0.25">
      <c r="L319"/>
      <c r="M319"/>
      <c r="N319"/>
      <c r="O319"/>
      <c r="P319"/>
      <c r="Q319"/>
      <c r="R319"/>
      <c r="S319"/>
      <c r="T319"/>
      <c r="U319"/>
    </row>
    <row r="320" spans="12:21" x14ac:dyDescent="0.25">
      <c r="L320"/>
      <c r="M320"/>
      <c r="N320"/>
      <c r="O320"/>
      <c r="P320"/>
      <c r="Q320"/>
      <c r="R320"/>
      <c r="S320"/>
      <c r="T320"/>
      <c r="U320"/>
    </row>
    <row r="321" spans="12:21" x14ac:dyDescent="0.25">
      <c r="L321"/>
      <c r="M321"/>
      <c r="N321"/>
      <c r="O321"/>
      <c r="P321"/>
      <c r="Q321"/>
      <c r="R321"/>
      <c r="S321"/>
      <c r="T321"/>
      <c r="U321"/>
    </row>
    <row r="322" spans="12:21" x14ac:dyDescent="0.25">
      <c r="L322"/>
      <c r="M322"/>
      <c r="N322"/>
      <c r="O322"/>
      <c r="P322"/>
      <c r="Q322"/>
      <c r="R322"/>
      <c r="S322"/>
      <c r="T322"/>
      <c r="U322"/>
    </row>
    <row r="323" spans="12:21" x14ac:dyDescent="0.25">
      <c r="L323"/>
      <c r="M323"/>
      <c r="N323"/>
      <c r="O323"/>
      <c r="P323"/>
      <c r="Q323"/>
      <c r="R323"/>
      <c r="S323"/>
      <c r="T323"/>
      <c r="U323"/>
    </row>
    <row r="324" spans="12:21" x14ac:dyDescent="0.25">
      <c r="L324"/>
      <c r="M324"/>
      <c r="N324"/>
      <c r="O324"/>
      <c r="P324"/>
      <c r="Q324"/>
      <c r="R324"/>
      <c r="S324"/>
      <c r="T324"/>
      <c r="U324"/>
    </row>
    <row r="325" spans="12:21" x14ac:dyDescent="0.25">
      <c r="L325"/>
      <c r="M325"/>
      <c r="N325"/>
      <c r="O325"/>
      <c r="P325"/>
      <c r="Q325"/>
      <c r="R325"/>
      <c r="S325"/>
      <c r="T325"/>
      <c r="U325"/>
    </row>
    <row r="326" spans="12:21" x14ac:dyDescent="0.25">
      <c r="L326"/>
      <c r="M326"/>
      <c r="N326"/>
      <c r="O326"/>
      <c r="P326"/>
      <c r="Q326"/>
      <c r="R326"/>
      <c r="S326"/>
      <c r="T326"/>
      <c r="U326"/>
    </row>
    <row r="327" spans="12:21" x14ac:dyDescent="0.25">
      <c r="L327"/>
      <c r="M327"/>
      <c r="N327"/>
      <c r="O327"/>
      <c r="P327"/>
      <c r="Q327"/>
      <c r="R327"/>
      <c r="S327"/>
      <c r="T327"/>
      <c r="U327"/>
    </row>
    <row r="328" spans="12:21" x14ac:dyDescent="0.25">
      <c r="L328"/>
      <c r="M328"/>
      <c r="N328"/>
      <c r="O328"/>
      <c r="P328"/>
      <c r="Q328"/>
      <c r="R328"/>
      <c r="S328"/>
      <c r="T328"/>
      <c r="U328"/>
    </row>
    <row r="329" spans="12:21" x14ac:dyDescent="0.25">
      <c r="L329"/>
      <c r="M329"/>
      <c r="N329"/>
      <c r="O329"/>
      <c r="P329"/>
      <c r="Q329"/>
      <c r="R329"/>
      <c r="S329"/>
      <c r="T329"/>
      <c r="U329"/>
    </row>
    <row r="330" spans="12:21" x14ac:dyDescent="0.25">
      <c r="L330"/>
      <c r="M330"/>
      <c r="N330"/>
      <c r="O330"/>
      <c r="P330"/>
      <c r="Q330"/>
      <c r="R330"/>
      <c r="S330"/>
      <c r="T330"/>
      <c r="U330"/>
    </row>
    <row r="331" spans="12:21" x14ac:dyDescent="0.25">
      <c r="L331"/>
      <c r="M331"/>
      <c r="N331"/>
      <c r="O331"/>
      <c r="P331"/>
      <c r="Q331"/>
      <c r="R331"/>
      <c r="S331"/>
      <c r="T331"/>
      <c r="U331"/>
    </row>
    <row r="332" spans="12:21" x14ac:dyDescent="0.25">
      <c r="L332"/>
      <c r="M332"/>
      <c r="N332"/>
      <c r="O332"/>
      <c r="P332"/>
      <c r="Q332"/>
      <c r="R332"/>
      <c r="S332"/>
      <c r="T332"/>
      <c r="U332"/>
    </row>
    <row r="333" spans="12:21" x14ac:dyDescent="0.25">
      <c r="L333"/>
      <c r="M333"/>
      <c r="N333"/>
      <c r="O333"/>
      <c r="P333"/>
      <c r="Q333"/>
      <c r="R333"/>
      <c r="S333"/>
      <c r="T333"/>
      <c r="U333"/>
    </row>
    <row r="334" spans="12:21" x14ac:dyDescent="0.25">
      <c r="L334"/>
      <c r="M334"/>
      <c r="N334"/>
      <c r="O334"/>
      <c r="P334"/>
      <c r="Q334"/>
      <c r="R334"/>
      <c r="S334"/>
      <c r="T334"/>
      <c r="U334"/>
    </row>
    <row r="335" spans="12:21" x14ac:dyDescent="0.25">
      <c r="L335"/>
      <c r="M335"/>
      <c r="N335"/>
      <c r="O335"/>
      <c r="P335"/>
      <c r="Q335"/>
      <c r="R335"/>
      <c r="S335"/>
      <c r="T335"/>
      <c r="U335"/>
    </row>
    <row r="336" spans="12:21" x14ac:dyDescent="0.25">
      <c r="L336"/>
      <c r="M336"/>
      <c r="N336"/>
      <c r="O336"/>
      <c r="P336"/>
      <c r="Q336"/>
      <c r="R336"/>
      <c r="S336"/>
      <c r="T336"/>
      <c r="U336"/>
    </row>
    <row r="337" spans="12:21" x14ac:dyDescent="0.25">
      <c r="L337"/>
      <c r="M337"/>
      <c r="N337"/>
      <c r="O337"/>
      <c r="P337"/>
      <c r="Q337"/>
      <c r="R337"/>
      <c r="S337"/>
      <c r="T337"/>
      <c r="U337"/>
    </row>
    <row r="338" spans="12:21" x14ac:dyDescent="0.25">
      <c r="L338"/>
      <c r="M338"/>
      <c r="N338"/>
      <c r="O338"/>
      <c r="P338"/>
      <c r="Q338"/>
      <c r="R338"/>
      <c r="S338"/>
      <c r="T338"/>
      <c r="U338"/>
    </row>
    <row r="339" spans="12:21" x14ac:dyDescent="0.25">
      <c r="L339"/>
      <c r="M339"/>
      <c r="N339"/>
      <c r="O339"/>
      <c r="P339"/>
      <c r="Q339"/>
      <c r="R339"/>
      <c r="S339"/>
      <c r="T339"/>
      <c r="U339"/>
    </row>
    <row r="340" spans="12:21" x14ac:dyDescent="0.25">
      <c r="L340"/>
      <c r="M340"/>
      <c r="N340"/>
      <c r="O340"/>
      <c r="P340"/>
      <c r="Q340"/>
      <c r="R340"/>
      <c r="S340"/>
      <c r="T340"/>
      <c r="U340"/>
    </row>
    <row r="341" spans="12:21" x14ac:dyDescent="0.25">
      <c r="L341"/>
      <c r="M341"/>
      <c r="N341"/>
      <c r="O341"/>
      <c r="P341"/>
      <c r="Q341"/>
      <c r="R341"/>
      <c r="S341"/>
      <c r="T341"/>
      <c r="U341"/>
    </row>
    <row r="342" spans="12:21" x14ac:dyDescent="0.25">
      <c r="L342"/>
      <c r="M342"/>
      <c r="N342"/>
      <c r="O342"/>
      <c r="P342"/>
      <c r="Q342"/>
      <c r="R342"/>
      <c r="S342"/>
      <c r="T342"/>
      <c r="U342"/>
    </row>
    <row r="343" spans="12:21" x14ac:dyDescent="0.25">
      <c r="L343"/>
      <c r="M343"/>
      <c r="N343"/>
      <c r="O343"/>
      <c r="P343"/>
      <c r="Q343"/>
      <c r="R343"/>
      <c r="S343"/>
      <c r="T343"/>
      <c r="U343"/>
    </row>
    <row r="344" spans="12:21" x14ac:dyDescent="0.25">
      <c r="L344"/>
      <c r="M344"/>
      <c r="N344"/>
      <c r="O344"/>
      <c r="P344"/>
      <c r="Q344"/>
      <c r="R344"/>
      <c r="S344"/>
      <c r="T344"/>
      <c r="U344"/>
    </row>
    <row r="345" spans="12:21" x14ac:dyDescent="0.25">
      <c r="L345"/>
      <c r="M345"/>
      <c r="N345"/>
      <c r="O345"/>
      <c r="P345"/>
      <c r="Q345"/>
      <c r="R345"/>
      <c r="S345"/>
      <c r="T345"/>
      <c r="U345"/>
    </row>
    <row r="346" spans="12:21" x14ac:dyDescent="0.25">
      <c r="L346"/>
      <c r="M346"/>
      <c r="N346"/>
      <c r="O346"/>
      <c r="P346"/>
      <c r="Q346"/>
      <c r="R346"/>
      <c r="S346"/>
      <c r="T346"/>
      <c r="U346"/>
    </row>
    <row r="347" spans="12:21" x14ac:dyDescent="0.25">
      <c r="L347"/>
      <c r="M347"/>
      <c r="N347"/>
      <c r="O347"/>
      <c r="P347"/>
      <c r="Q347"/>
      <c r="R347"/>
      <c r="S347"/>
      <c r="T347"/>
      <c r="U347"/>
    </row>
    <row r="348" spans="12:21" x14ac:dyDescent="0.25">
      <c r="L348"/>
      <c r="M348"/>
      <c r="N348"/>
      <c r="O348"/>
      <c r="P348"/>
      <c r="Q348"/>
      <c r="R348"/>
      <c r="S348"/>
      <c r="T348"/>
      <c r="U348"/>
    </row>
    <row r="349" spans="12:21" x14ac:dyDescent="0.25">
      <c r="L349"/>
      <c r="M349"/>
      <c r="N349"/>
      <c r="O349"/>
      <c r="P349"/>
      <c r="Q349"/>
      <c r="R349"/>
      <c r="S349"/>
      <c r="T349"/>
      <c r="U349"/>
    </row>
    <row r="350" spans="12:21" x14ac:dyDescent="0.25">
      <c r="L350"/>
      <c r="M350"/>
      <c r="N350"/>
      <c r="O350"/>
      <c r="P350"/>
      <c r="Q350"/>
      <c r="R350"/>
      <c r="S350"/>
      <c r="T350"/>
      <c r="U350"/>
    </row>
    <row r="351" spans="12:21" x14ac:dyDescent="0.25">
      <c r="L351"/>
      <c r="M351"/>
      <c r="N351"/>
      <c r="O351"/>
      <c r="P351"/>
      <c r="Q351"/>
      <c r="R351"/>
      <c r="S351"/>
      <c r="T351"/>
      <c r="U351"/>
    </row>
    <row r="352" spans="12:21" x14ac:dyDescent="0.25">
      <c r="L352"/>
      <c r="M352"/>
      <c r="N352"/>
      <c r="O352"/>
      <c r="P352"/>
      <c r="Q352"/>
      <c r="R352"/>
      <c r="S352"/>
      <c r="T352"/>
      <c r="U352"/>
    </row>
    <row r="353" spans="12:21" x14ac:dyDescent="0.25">
      <c r="L353"/>
      <c r="M353"/>
      <c r="N353"/>
      <c r="O353"/>
      <c r="P353"/>
      <c r="Q353"/>
      <c r="R353"/>
      <c r="S353"/>
      <c r="T353"/>
      <c r="U353"/>
    </row>
    <row r="354" spans="12:21" x14ac:dyDescent="0.25">
      <c r="L354"/>
      <c r="M354"/>
      <c r="N354"/>
      <c r="O354"/>
      <c r="P354"/>
      <c r="Q354"/>
      <c r="R354"/>
      <c r="S354"/>
      <c r="T354"/>
      <c r="U354"/>
    </row>
    <row r="355" spans="12:21" x14ac:dyDescent="0.25">
      <c r="L355"/>
      <c r="M355"/>
      <c r="N355"/>
      <c r="O355"/>
      <c r="P355"/>
      <c r="Q355"/>
      <c r="R355"/>
      <c r="S355"/>
      <c r="T355"/>
      <c r="U355"/>
    </row>
    <row r="356" spans="12:21" x14ac:dyDescent="0.25">
      <c r="L356"/>
      <c r="M356"/>
      <c r="N356"/>
      <c r="O356"/>
      <c r="P356"/>
      <c r="Q356"/>
      <c r="R356"/>
      <c r="S356"/>
      <c r="T356"/>
      <c r="U356"/>
    </row>
    <row r="357" spans="12:21" x14ac:dyDescent="0.25">
      <c r="L357"/>
      <c r="M357"/>
      <c r="N357"/>
      <c r="O357"/>
      <c r="P357"/>
      <c r="Q357"/>
      <c r="R357"/>
      <c r="S357"/>
      <c r="T357"/>
      <c r="U357"/>
    </row>
    <row r="358" spans="12:21" x14ac:dyDescent="0.25">
      <c r="L358"/>
      <c r="M358"/>
      <c r="N358"/>
      <c r="O358"/>
      <c r="P358"/>
      <c r="Q358"/>
      <c r="R358"/>
      <c r="S358"/>
      <c r="T358"/>
      <c r="U358"/>
    </row>
    <row r="359" spans="12:21" x14ac:dyDescent="0.25">
      <c r="L359"/>
      <c r="M359"/>
      <c r="N359"/>
      <c r="O359"/>
      <c r="P359"/>
      <c r="Q359"/>
      <c r="R359"/>
      <c r="S359"/>
      <c r="T359"/>
      <c r="U359"/>
    </row>
    <row r="360" spans="12:21" x14ac:dyDescent="0.25">
      <c r="L360"/>
      <c r="M360"/>
      <c r="N360"/>
      <c r="O360"/>
      <c r="P360"/>
      <c r="Q360"/>
      <c r="R360"/>
      <c r="S360"/>
      <c r="T360"/>
      <c r="U360"/>
    </row>
    <row r="361" spans="12:21" x14ac:dyDescent="0.25">
      <c r="L361"/>
      <c r="M361"/>
      <c r="N361"/>
      <c r="O361"/>
      <c r="P361"/>
      <c r="Q361"/>
      <c r="R361"/>
      <c r="S361"/>
      <c r="T361"/>
      <c r="U361"/>
    </row>
    <row r="362" spans="12:21" x14ac:dyDescent="0.25">
      <c r="L362"/>
      <c r="M362"/>
      <c r="N362"/>
      <c r="O362"/>
      <c r="P362"/>
      <c r="Q362"/>
      <c r="R362"/>
      <c r="S362"/>
      <c r="T362"/>
      <c r="U362"/>
    </row>
    <row r="363" spans="12:21" x14ac:dyDescent="0.25">
      <c r="L363"/>
      <c r="M363"/>
      <c r="N363"/>
      <c r="O363"/>
      <c r="P363"/>
      <c r="Q363"/>
      <c r="R363"/>
      <c r="S363"/>
      <c r="T363"/>
      <c r="U363"/>
    </row>
    <row r="364" spans="12:21" x14ac:dyDescent="0.25">
      <c r="L364"/>
      <c r="M364"/>
      <c r="N364"/>
      <c r="O364"/>
      <c r="P364"/>
      <c r="Q364"/>
      <c r="R364"/>
      <c r="S364"/>
      <c r="T364"/>
      <c r="U364"/>
    </row>
    <row r="365" spans="12:21" x14ac:dyDescent="0.25">
      <c r="L365"/>
      <c r="M365"/>
      <c r="N365"/>
      <c r="O365"/>
      <c r="P365"/>
      <c r="Q365"/>
      <c r="R365"/>
      <c r="S365"/>
      <c r="T365"/>
      <c r="U365"/>
    </row>
    <row r="366" spans="12:21" x14ac:dyDescent="0.25">
      <c r="L366"/>
      <c r="M366"/>
      <c r="N366"/>
      <c r="O366"/>
      <c r="P366"/>
      <c r="Q366"/>
      <c r="R366"/>
      <c r="S366"/>
      <c r="T366"/>
      <c r="U366"/>
    </row>
    <row r="367" spans="12:21" x14ac:dyDescent="0.25">
      <c r="L367"/>
      <c r="M367"/>
      <c r="N367"/>
      <c r="O367"/>
      <c r="P367"/>
      <c r="Q367"/>
      <c r="R367"/>
      <c r="S367"/>
      <c r="T367"/>
      <c r="U367"/>
    </row>
    <row r="368" spans="12:21" x14ac:dyDescent="0.25">
      <c r="L368"/>
      <c r="M368"/>
      <c r="N368"/>
      <c r="O368"/>
      <c r="P368"/>
      <c r="Q368"/>
      <c r="R368"/>
      <c r="S368"/>
      <c r="T368"/>
      <c r="U368"/>
    </row>
    <row r="369" spans="12:21" x14ac:dyDescent="0.25">
      <c r="L369"/>
      <c r="M369"/>
      <c r="N369"/>
      <c r="O369"/>
      <c r="P369"/>
      <c r="Q369"/>
      <c r="R369"/>
      <c r="S369"/>
      <c r="T369"/>
      <c r="U369"/>
    </row>
    <row r="370" spans="12:21" x14ac:dyDescent="0.25">
      <c r="L370"/>
      <c r="M370"/>
      <c r="N370"/>
      <c r="O370"/>
      <c r="P370"/>
      <c r="Q370"/>
      <c r="R370"/>
      <c r="S370"/>
      <c r="T370"/>
      <c r="U370"/>
    </row>
    <row r="371" spans="12:21" x14ac:dyDescent="0.25">
      <c r="L371"/>
      <c r="M371"/>
      <c r="N371"/>
      <c r="O371"/>
      <c r="P371"/>
      <c r="Q371"/>
      <c r="R371"/>
      <c r="S371"/>
      <c r="T371"/>
      <c r="U371"/>
    </row>
    <row r="372" spans="12:21" x14ac:dyDescent="0.25">
      <c r="L372"/>
      <c r="M372"/>
      <c r="N372"/>
      <c r="O372"/>
      <c r="P372"/>
      <c r="Q372"/>
      <c r="R372"/>
      <c r="S372"/>
      <c r="T372"/>
      <c r="U372"/>
    </row>
    <row r="373" spans="12:21" x14ac:dyDescent="0.25">
      <c r="L373"/>
      <c r="M373"/>
      <c r="N373"/>
      <c r="O373"/>
      <c r="P373"/>
      <c r="Q373"/>
      <c r="R373"/>
      <c r="S373"/>
      <c r="T373"/>
      <c r="U373"/>
    </row>
    <row r="374" spans="12:21" x14ac:dyDescent="0.25">
      <c r="L374"/>
      <c r="M374"/>
      <c r="N374"/>
      <c r="O374"/>
      <c r="P374"/>
      <c r="Q374"/>
      <c r="R374"/>
      <c r="S374"/>
      <c r="T374"/>
      <c r="U374"/>
    </row>
    <row r="375" spans="12:21" x14ac:dyDescent="0.25">
      <c r="L375"/>
      <c r="M375"/>
      <c r="N375"/>
      <c r="O375"/>
      <c r="P375"/>
      <c r="Q375"/>
      <c r="R375"/>
      <c r="S375"/>
      <c r="T375"/>
      <c r="U375"/>
    </row>
    <row r="376" spans="12:21" x14ac:dyDescent="0.25">
      <c r="L376"/>
      <c r="M376"/>
      <c r="N376"/>
      <c r="O376"/>
      <c r="P376"/>
      <c r="Q376"/>
      <c r="R376"/>
      <c r="S376"/>
      <c r="T376"/>
      <c r="U376"/>
    </row>
    <row r="377" spans="12:21" x14ac:dyDescent="0.25">
      <c r="L377"/>
      <c r="M377"/>
      <c r="N377"/>
      <c r="O377"/>
      <c r="P377"/>
      <c r="Q377"/>
      <c r="R377"/>
      <c r="S377"/>
      <c r="T377"/>
      <c r="U377"/>
    </row>
    <row r="378" spans="12:21" x14ac:dyDescent="0.25">
      <c r="L378"/>
      <c r="M378"/>
      <c r="N378"/>
      <c r="O378"/>
      <c r="P378"/>
      <c r="Q378"/>
      <c r="R378"/>
      <c r="S378"/>
      <c r="T378"/>
      <c r="U378"/>
    </row>
    <row r="379" spans="12:21" x14ac:dyDescent="0.25">
      <c r="L379"/>
      <c r="M379"/>
      <c r="N379"/>
      <c r="O379"/>
      <c r="P379"/>
      <c r="Q379"/>
      <c r="R379"/>
      <c r="S379"/>
      <c r="T379"/>
      <c r="U379"/>
    </row>
    <row r="380" spans="12:21" x14ac:dyDescent="0.25">
      <c r="L380"/>
      <c r="M380"/>
      <c r="N380"/>
      <c r="O380"/>
      <c r="P380"/>
      <c r="Q380"/>
      <c r="R380"/>
      <c r="S380"/>
      <c r="T380"/>
      <c r="U380"/>
    </row>
    <row r="381" spans="12:21" x14ac:dyDescent="0.25">
      <c r="L381"/>
      <c r="M381"/>
      <c r="N381"/>
      <c r="O381"/>
      <c r="P381"/>
      <c r="Q381"/>
      <c r="R381"/>
      <c r="S381"/>
      <c r="T381"/>
      <c r="U381"/>
    </row>
    <row r="382" spans="12:21" x14ac:dyDescent="0.25">
      <c r="L382"/>
      <c r="M382"/>
      <c r="N382"/>
      <c r="O382"/>
      <c r="P382"/>
      <c r="Q382"/>
      <c r="R382"/>
      <c r="S382"/>
      <c r="T382"/>
      <c r="U382"/>
    </row>
    <row r="383" spans="12:21" x14ac:dyDescent="0.25">
      <c r="L383"/>
      <c r="M383"/>
      <c r="N383"/>
      <c r="O383"/>
      <c r="P383"/>
      <c r="Q383"/>
      <c r="R383"/>
      <c r="S383"/>
      <c r="T383"/>
      <c r="U383"/>
    </row>
    <row r="384" spans="12:21" x14ac:dyDescent="0.25">
      <c r="L384"/>
      <c r="M384"/>
      <c r="N384"/>
      <c r="O384"/>
      <c r="P384"/>
      <c r="Q384"/>
      <c r="R384"/>
      <c r="S384"/>
      <c r="T384"/>
      <c r="U384"/>
    </row>
    <row r="385" spans="12:21" x14ac:dyDescent="0.25">
      <c r="L385"/>
      <c r="M385"/>
      <c r="N385"/>
      <c r="O385"/>
      <c r="P385"/>
      <c r="Q385"/>
      <c r="R385"/>
      <c r="S385"/>
      <c r="T385"/>
      <c r="U385"/>
    </row>
    <row r="386" spans="12:21" x14ac:dyDescent="0.25">
      <c r="L386"/>
      <c r="M386"/>
      <c r="N386"/>
      <c r="O386"/>
      <c r="P386"/>
      <c r="Q386"/>
      <c r="R386"/>
      <c r="S386"/>
      <c r="T386"/>
      <c r="U386"/>
    </row>
    <row r="387" spans="12:21" x14ac:dyDescent="0.25">
      <c r="L387"/>
      <c r="M387"/>
      <c r="N387"/>
      <c r="O387"/>
      <c r="P387"/>
      <c r="Q387"/>
      <c r="R387"/>
      <c r="S387"/>
      <c r="T387"/>
      <c r="U387"/>
    </row>
    <row r="388" spans="12:21" x14ac:dyDescent="0.25">
      <c r="L388"/>
      <c r="M388"/>
      <c r="N388"/>
      <c r="O388"/>
      <c r="P388"/>
      <c r="Q388"/>
      <c r="R388"/>
      <c r="S388"/>
      <c r="T388"/>
      <c r="U388"/>
    </row>
    <row r="389" spans="12:21" x14ac:dyDescent="0.25">
      <c r="L389"/>
      <c r="M389"/>
      <c r="N389"/>
      <c r="O389"/>
      <c r="P389"/>
      <c r="Q389"/>
      <c r="R389"/>
      <c r="S389"/>
      <c r="T389"/>
      <c r="U389"/>
    </row>
    <row r="390" spans="12:21" x14ac:dyDescent="0.25">
      <c r="L390"/>
      <c r="M390"/>
      <c r="N390"/>
      <c r="O390"/>
      <c r="P390"/>
      <c r="Q390"/>
      <c r="R390"/>
      <c r="S390"/>
      <c r="T390"/>
      <c r="U390"/>
    </row>
    <row r="391" spans="12:21" x14ac:dyDescent="0.25">
      <c r="L391"/>
      <c r="M391"/>
      <c r="N391"/>
      <c r="O391"/>
      <c r="P391"/>
      <c r="Q391"/>
      <c r="R391"/>
      <c r="S391"/>
      <c r="T391"/>
      <c r="U391"/>
    </row>
    <row r="392" spans="12:21" x14ac:dyDescent="0.25">
      <c r="L392"/>
      <c r="M392"/>
      <c r="N392"/>
      <c r="O392"/>
      <c r="P392"/>
      <c r="Q392"/>
      <c r="R392"/>
      <c r="S392"/>
      <c r="T392"/>
      <c r="U392"/>
    </row>
    <row r="393" spans="12:21" x14ac:dyDescent="0.25">
      <c r="L393"/>
      <c r="M393"/>
      <c r="N393"/>
      <c r="O393"/>
      <c r="P393"/>
      <c r="Q393"/>
      <c r="R393"/>
      <c r="S393"/>
      <c r="T393"/>
      <c r="U393"/>
    </row>
    <row r="394" spans="12:21" x14ac:dyDescent="0.25">
      <c r="L394"/>
      <c r="M394"/>
      <c r="N394"/>
      <c r="O394"/>
      <c r="P394"/>
      <c r="Q394"/>
      <c r="R394"/>
      <c r="S394"/>
      <c r="T394"/>
      <c r="U394"/>
    </row>
    <row r="395" spans="12:21" x14ac:dyDescent="0.25">
      <c r="L395"/>
      <c r="M395"/>
      <c r="N395"/>
      <c r="O395"/>
      <c r="P395"/>
      <c r="Q395"/>
      <c r="R395"/>
      <c r="S395"/>
      <c r="T395"/>
      <c r="U395"/>
    </row>
    <row r="396" spans="12:21" x14ac:dyDescent="0.25">
      <c r="L396"/>
      <c r="M396"/>
      <c r="N396"/>
      <c r="O396"/>
      <c r="P396"/>
      <c r="Q396"/>
      <c r="R396"/>
      <c r="S396"/>
      <c r="T396"/>
      <c r="U396"/>
    </row>
    <row r="397" spans="12:21" x14ac:dyDescent="0.25">
      <c r="L397"/>
      <c r="M397"/>
      <c r="N397"/>
      <c r="O397"/>
      <c r="P397"/>
      <c r="Q397"/>
      <c r="R397"/>
      <c r="S397"/>
      <c r="T397"/>
      <c r="U397"/>
    </row>
    <row r="398" spans="12:21" x14ac:dyDescent="0.25">
      <c r="L398"/>
      <c r="M398"/>
      <c r="N398"/>
      <c r="O398"/>
      <c r="P398"/>
      <c r="Q398"/>
      <c r="R398"/>
      <c r="S398"/>
      <c r="T398"/>
      <c r="U398"/>
    </row>
    <row r="399" spans="12:21" x14ac:dyDescent="0.25">
      <c r="L399"/>
      <c r="M399"/>
      <c r="N399"/>
      <c r="O399"/>
      <c r="P399"/>
      <c r="Q399"/>
      <c r="R399"/>
      <c r="S399"/>
      <c r="T399"/>
      <c r="U399"/>
    </row>
    <row r="400" spans="12:21" x14ac:dyDescent="0.25">
      <c r="L400"/>
      <c r="M400"/>
      <c r="N400"/>
      <c r="O400"/>
      <c r="P400"/>
      <c r="Q400"/>
      <c r="R400"/>
      <c r="S400"/>
      <c r="T400"/>
      <c r="U400"/>
    </row>
    <row r="401" spans="12:21" x14ac:dyDescent="0.25">
      <c r="L401"/>
      <c r="M401"/>
      <c r="N401"/>
      <c r="O401"/>
      <c r="P401"/>
      <c r="Q401"/>
      <c r="R401"/>
      <c r="S401"/>
      <c r="T401"/>
      <c r="U401"/>
    </row>
    <row r="402" spans="12:21" x14ac:dyDescent="0.25">
      <c r="L402"/>
      <c r="M402"/>
      <c r="N402"/>
      <c r="O402"/>
      <c r="P402"/>
      <c r="Q402"/>
      <c r="R402"/>
      <c r="S402"/>
      <c r="T402"/>
      <c r="U402"/>
    </row>
    <row r="403" spans="12:21" x14ac:dyDescent="0.25">
      <c r="L403"/>
      <c r="M403"/>
      <c r="N403"/>
      <c r="O403"/>
      <c r="P403"/>
      <c r="Q403"/>
      <c r="R403"/>
      <c r="S403"/>
      <c r="T403"/>
      <c r="U403"/>
    </row>
    <row r="404" spans="12:21" x14ac:dyDescent="0.25">
      <c r="L404"/>
      <c r="M404"/>
      <c r="N404"/>
      <c r="O404"/>
      <c r="P404"/>
      <c r="Q404"/>
      <c r="R404"/>
      <c r="S404"/>
      <c r="T404"/>
      <c r="U404"/>
    </row>
    <row r="405" spans="12:21" x14ac:dyDescent="0.25">
      <c r="L405"/>
      <c r="M405"/>
      <c r="N405"/>
      <c r="O405"/>
      <c r="P405"/>
      <c r="Q405"/>
      <c r="R405"/>
      <c r="S405"/>
      <c r="T405"/>
      <c r="U405"/>
    </row>
    <row r="406" spans="12:21" x14ac:dyDescent="0.25">
      <c r="L406"/>
      <c r="M406"/>
      <c r="N406"/>
      <c r="O406"/>
      <c r="P406"/>
      <c r="Q406"/>
      <c r="R406"/>
      <c r="S406"/>
      <c r="T406"/>
      <c r="U406"/>
    </row>
    <row r="407" spans="12:21" x14ac:dyDescent="0.25">
      <c r="L407"/>
      <c r="M407"/>
      <c r="N407"/>
      <c r="O407"/>
      <c r="P407"/>
      <c r="Q407"/>
      <c r="R407"/>
      <c r="S407"/>
      <c r="T407"/>
      <c r="U407"/>
    </row>
    <row r="408" spans="12:21" x14ac:dyDescent="0.25">
      <c r="L408"/>
      <c r="M408"/>
      <c r="N408"/>
      <c r="O408"/>
      <c r="P408"/>
      <c r="Q408"/>
      <c r="R408"/>
      <c r="S408"/>
      <c r="T408"/>
      <c r="U408"/>
    </row>
    <row r="409" spans="12:21" x14ac:dyDescent="0.25">
      <c r="L409"/>
      <c r="M409"/>
      <c r="N409"/>
      <c r="O409"/>
      <c r="P409"/>
      <c r="Q409"/>
      <c r="R409"/>
      <c r="S409"/>
      <c r="T409"/>
      <c r="U409"/>
    </row>
    <row r="410" spans="12:21" x14ac:dyDescent="0.25">
      <c r="L410"/>
      <c r="M410"/>
      <c r="N410"/>
      <c r="O410"/>
      <c r="P410"/>
      <c r="Q410"/>
      <c r="R410"/>
      <c r="S410"/>
      <c r="T410"/>
      <c r="U410"/>
    </row>
    <row r="411" spans="12:21" x14ac:dyDescent="0.25">
      <c r="L411"/>
      <c r="M411"/>
      <c r="N411"/>
      <c r="O411"/>
      <c r="P411"/>
      <c r="Q411"/>
      <c r="R411"/>
      <c r="S411"/>
      <c r="T411"/>
      <c r="U411"/>
    </row>
    <row r="412" spans="12:21" x14ac:dyDescent="0.25">
      <c r="L412"/>
      <c r="M412"/>
      <c r="N412"/>
      <c r="O412"/>
      <c r="P412"/>
      <c r="Q412"/>
      <c r="R412"/>
      <c r="S412"/>
      <c r="T412"/>
      <c r="U412"/>
    </row>
    <row r="413" spans="12:21" x14ac:dyDescent="0.25">
      <c r="L413"/>
      <c r="M413"/>
      <c r="N413"/>
      <c r="O413"/>
      <c r="P413"/>
      <c r="Q413"/>
      <c r="R413"/>
      <c r="S413"/>
      <c r="T413"/>
      <c r="U413"/>
    </row>
    <row r="414" spans="12:21" x14ac:dyDescent="0.25">
      <c r="L414"/>
      <c r="M414"/>
      <c r="N414"/>
      <c r="O414"/>
      <c r="P414"/>
      <c r="Q414"/>
      <c r="R414"/>
      <c r="S414"/>
      <c r="T414"/>
      <c r="U414"/>
    </row>
    <row r="415" spans="12:21" x14ac:dyDescent="0.25">
      <c r="L415"/>
      <c r="M415"/>
      <c r="N415"/>
      <c r="O415"/>
      <c r="P415"/>
      <c r="Q415"/>
      <c r="R415"/>
      <c r="S415"/>
      <c r="T415"/>
      <c r="U415"/>
    </row>
    <row r="416" spans="12:21" x14ac:dyDescent="0.25">
      <c r="L416"/>
      <c r="M416"/>
      <c r="N416"/>
      <c r="O416"/>
      <c r="P416"/>
      <c r="Q416"/>
      <c r="R416"/>
      <c r="S416"/>
      <c r="T416"/>
      <c r="U416"/>
    </row>
    <row r="417" spans="12:21" x14ac:dyDescent="0.25">
      <c r="L417"/>
      <c r="M417"/>
      <c r="N417"/>
      <c r="O417"/>
      <c r="P417"/>
      <c r="Q417"/>
      <c r="R417"/>
      <c r="S417"/>
      <c r="T417"/>
      <c r="U417"/>
    </row>
    <row r="418" spans="12:21" x14ac:dyDescent="0.25">
      <c r="L418"/>
      <c r="M418"/>
      <c r="N418"/>
      <c r="O418"/>
      <c r="P418"/>
      <c r="Q418"/>
      <c r="R418"/>
      <c r="S418"/>
      <c r="T418"/>
      <c r="U418"/>
    </row>
    <row r="419" spans="12:21" x14ac:dyDescent="0.25">
      <c r="L419"/>
      <c r="M419"/>
      <c r="N419"/>
      <c r="O419"/>
      <c r="P419"/>
      <c r="Q419"/>
      <c r="R419"/>
      <c r="S419"/>
      <c r="T419"/>
      <c r="U419"/>
    </row>
    <row r="420" spans="12:21" x14ac:dyDescent="0.25">
      <c r="L420"/>
      <c r="M420"/>
      <c r="N420"/>
      <c r="O420"/>
      <c r="P420"/>
      <c r="Q420"/>
      <c r="R420"/>
      <c r="S420"/>
      <c r="T420"/>
      <c r="U420"/>
    </row>
    <row r="421" spans="12:21" x14ac:dyDescent="0.25">
      <c r="L421"/>
      <c r="M421"/>
      <c r="N421"/>
      <c r="O421"/>
      <c r="P421"/>
      <c r="Q421"/>
      <c r="R421"/>
      <c r="S421"/>
      <c r="T421"/>
      <c r="U421"/>
    </row>
    <row r="422" spans="12:21" x14ac:dyDescent="0.25">
      <c r="L422"/>
      <c r="M422"/>
      <c r="N422"/>
      <c r="O422"/>
      <c r="P422"/>
      <c r="Q422"/>
      <c r="R422"/>
      <c r="S422"/>
      <c r="T422"/>
      <c r="U422"/>
    </row>
    <row r="423" spans="12:21" x14ac:dyDescent="0.25">
      <c r="L423"/>
      <c r="M423"/>
      <c r="N423"/>
      <c r="O423"/>
      <c r="P423"/>
      <c r="Q423"/>
      <c r="R423"/>
      <c r="S423"/>
      <c r="T423"/>
      <c r="U423"/>
    </row>
    <row r="424" spans="12:21" x14ac:dyDescent="0.25">
      <c r="L424"/>
      <c r="M424"/>
      <c r="N424"/>
      <c r="O424"/>
      <c r="P424"/>
      <c r="Q424"/>
      <c r="R424"/>
      <c r="S424"/>
      <c r="T424"/>
      <c r="U424"/>
    </row>
    <row r="425" spans="12:21" x14ac:dyDescent="0.25">
      <c r="L425"/>
      <c r="M425"/>
      <c r="N425"/>
      <c r="O425"/>
      <c r="P425"/>
      <c r="Q425"/>
      <c r="R425"/>
      <c r="S425"/>
      <c r="T425"/>
      <c r="U425"/>
    </row>
    <row r="426" spans="12:21" x14ac:dyDescent="0.25">
      <c r="L426"/>
      <c r="M426"/>
      <c r="N426"/>
      <c r="O426"/>
      <c r="P426"/>
      <c r="Q426"/>
      <c r="R426"/>
      <c r="S426"/>
      <c r="T426"/>
      <c r="U426"/>
    </row>
    <row r="427" spans="12:21" x14ac:dyDescent="0.25">
      <c r="L427"/>
      <c r="M427"/>
      <c r="N427"/>
      <c r="O427"/>
      <c r="P427"/>
      <c r="Q427"/>
      <c r="R427"/>
      <c r="S427"/>
      <c r="T427"/>
      <c r="U427"/>
    </row>
    <row r="428" spans="12:21" x14ac:dyDescent="0.25">
      <c r="L428"/>
      <c r="M428"/>
      <c r="N428"/>
      <c r="O428"/>
      <c r="P428"/>
      <c r="Q428"/>
      <c r="R428"/>
      <c r="S428"/>
      <c r="T428"/>
      <c r="U428"/>
    </row>
    <row r="429" spans="12:21" x14ac:dyDescent="0.25">
      <c r="L429"/>
      <c r="M429"/>
      <c r="N429"/>
      <c r="O429"/>
      <c r="P429"/>
      <c r="Q429"/>
      <c r="R429"/>
      <c r="S429"/>
      <c r="T429"/>
      <c r="U429"/>
    </row>
    <row r="430" spans="12:21" x14ac:dyDescent="0.25">
      <c r="L430"/>
      <c r="M430"/>
      <c r="N430"/>
      <c r="O430"/>
      <c r="P430"/>
      <c r="Q430"/>
      <c r="R430"/>
      <c r="S430"/>
      <c r="T430"/>
      <c r="U430"/>
    </row>
    <row r="431" spans="12:21" x14ac:dyDescent="0.25">
      <c r="L431"/>
      <c r="M431"/>
      <c r="N431"/>
      <c r="O431"/>
      <c r="P431"/>
      <c r="Q431"/>
      <c r="R431"/>
      <c r="S431"/>
      <c r="T431"/>
      <c r="U431"/>
    </row>
    <row r="432" spans="12:21" x14ac:dyDescent="0.25">
      <c r="L432"/>
      <c r="M432"/>
      <c r="N432"/>
      <c r="O432"/>
      <c r="P432"/>
      <c r="Q432"/>
      <c r="R432"/>
      <c r="S432"/>
      <c r="T432"/>
      <c r="U432"/>
    </row>
    <row r="433" spans="12:21" x14ac:dyDescent="0.25">
      <c r="L433"/>
      <c r="M433"/>
      <c r="N433"/>
      <c r="O433"/>
      <c r="P433"/>
      <c r="Q433"/>
      <c r="R433"/>
      <c r="S433"/>
      <c r="T433"/>
      <c r="U433"/>
    </row>
    <row r="434" spans="12:21" x14ac:dyDescent="0.25">
      <c r="L434"/>
      <c r="M434"/>
      <c r="N434"/>
      <c r="O434"/>
      <c r="P434"/>
      <c r="Q434"/>
      <c r="R434"/>
      <c r="S434"/>
      <c r="T434"/>
      <c r="U434"/>
    </row>
    <row r="435" spans="12:21" x14ac:dyDescent="0.25">
      <c r="L435"/>
      <c r="M435"/>
      <c r="N435"/>
      <c r="O435"/>
      <c r="P435"/>
      <c r="Q435"/>
      <c r="R435"/>
      <c r="S435"/>
      <c r="T435"/>
      <c r="U435"/>
    </row>
    <row r="436" spans="12:21" x14ac:dyDescent="0.25">
      <c r="L436"/>
      <c r="M436"/>
      <c r="N436"/>
      <c r="O436"/>
      <c r="P436"/>
      <c r="Q436"/>
      <c r="R436"/>
      <c r="S436"/>
      <c r="T436"/>
      <c r="U436"/>
    </row>
    <row r="437" spans="12:21" x14ac:dyDescent="0.25">
      <c r="L437"/>
      <c r="M437"/>
      <c r="N437"/>
      <c r="O437"/>
      <c r="P437"/>
      <c r="Q437"/>
      <c r="R437"/>
      <c r="S437"/>
      <c r="T437"/>
      <c r="U437"/>
    </row>
    <row r="438" spans="12:21" x14ac:dyDescent="0.25">
      <c r="L438"/>
      <c r="M438"/>
      <c r="N438"/>
      <c r="O438"/>
      <c r="P438"/>
      <c r="Q438"/>
      <c r="R438"/>
      <c r="S438"/>
      <c r="T438"/>
      <c r="U438"/>
    </row>
    <row r="439" spans="12:21" x14ac:dyDescent="0.25">
      <c r="L439"/>
      <c r="M439"/>
      <c r="N439"/>
      <c r="O439"/>
      <c r="P439"/>
      <c r="Q439"/>
      <c r="R439"/>
      <c r="S439"/>
      <c r="T439"/>
      <c r="U439"/>
    </row>
    <row r="440" spans="12:21" x14ac:dyDescent="0.25">
      <c r="L440"/>
      <c r="M440"/>
      <c r="N440"/>
      <c r="O440"/>
      <c r="P440"/>
      <c r="Q440"/>
      <c r="R440"/>
      <c r="S440"/>
      <c r="T440"/>
      <c r="U440"/>
    </row>
    <row r="441" spans="12:21" x14ac:dyDescent="0.25">
      <c r="L441"/>
      <c r="M441"/>
      <c r="N441"/>
      <c r="O441"/>
      <c r="P441"/>
      <c r="Q441"/>
      <c r="R441"/>
      <c r="S441"/>
      <c r="T441"/>
      <c r="U441"/>
    </row>
    <row r="442" spans="12:21" x14ac:dyDescent="0.25">
      <c r="L442"/>
      <c r="M442"/>
      <c r="N442"/>
      <c r="O442"/>
      <c r="P442"/>
      <c r="Q442"/>
      <c r="R442"/>
      <c r="S442"/>
      <c r="T442"/>
      <c r="U442"/>
    </row>
    <row r="443" spans="12:21" x14ac:dyDescent="0.25">
      <c r="L443"/>
      <c r="M443"/>
      <c r="N443"/>
      <c r="O443"/>
      <c r="P443"/>
      <c r="Q443"/>
      <c r="R443"/>
      <c r="S443"/>
      <c r="T443"/>
      <c r="U443"/>
    </row>
    <row r="444" spans="12:21" x14ac:dyDescent="0.25">
      <c r="L444"/>
      <c r="M444"/>
      <c r="N444"/>
      <c r="O444"/>
      <c r="P444"/>
      <c r="Q444"/>
      <c r="R444"/>
      <c r="S444"/>
      <c r="T444"/>
      <c r="U444"/>
    </row>
    <row r="445" spans="12:21" x14ac:dyDescent="0.25">
      <c r="L445"/>
      <c r="M445"/>
      <c r="N445"/>
      <c r="O445"/>
      <c r="P445"/>
      <c r="Q445"/>
      <c r="R445"/>
      <c r="S445"/>
      <c r="T445"/>
      <c r="U445"/>
    </row>
    <row r="446" spans="12:21" x14ac:dyDescent="0.25">
      <c r="L446"/>
      <c r="M446"/>
      <c r="N446"/>
      <c r="O446"/>
      <c r="P446"/>
      <c r="Q446"/>
      <c r="R446"/>
      <c r="S446"/>
      <c r="T446"/>
      <c r="U446"/>
    </row>
    <row r="447" spans="12:21" x14ac:dyDescent="0.25">
      <c r="L447"/>
      <c r="M447"/>
      <c r="N447"/>
      <c r="O447"/>
      <c r="P447"/>
      <c r="Q447"/>
      <c r="R447"/>
      <c r="S447"/>
      <c r="T447"/>
      <c r="U447"/>
    </row>
    <row r="448" spans="12:21" x14ac:dyDescent="0.25">
      <c r="L448"/>
      <c r="M448"/>
      <c r="N448"/>
      <c r="O448"/>
      <c r="P448"/>
      <c r="Q448"/>
      <c r="R448"/>
      <c r="S448"/>
      <c r="T448"/>
      <c r="U448"/>
    </row>
    <row r="449" spans="12:21" x14ac:dyDescent="0.25">
      <c r="L449"/>
      <c r="M449"/>
      <c r="N449"/>
      <c r="O449"/>
      <c r="P449"/>
      <c r="Q449"/>
      <c r="R449"/>
      <c r="S449"/>
      <c r="T449"/>
      <c r="U449"/>
    </row>
    <row r="450" spans="12:21" x14ac:dyDescent="0.25">
      <c r="L450"/>
      <c r="M450"/>
      <c r="N450"/>
      <c r="O450"/>
      <c r="P450"/>
      <c r="Q450"/>
      <c r="R450"/>
      <c r="S450"/>
      <c r="T450"/>
      <c r="U450"/>
    </row>
    <row r="451" spans="12:21" x14ac:dyDescent="0.25">
      <c r="L451"/>
      <c r="M451"/>
      <c r="N451"/>
      <c r="O451"/>
      <c r="P451"/>
      <c r="Q451"/>
      <c r="R451"/>
      <c r="S451"/>
      <c r="T451"/>
      <c r="U451"/>
    </row>
    <row r="452" spans="12:21" x14ac:dyDescent="0.25">
      <c r="L452"/>
      <c r="M452"/>
      <c r="N452"/>
      <c r="O452"/>
      <c r="P452"/>
      <c r="Q452"/>
      <c r="R452"/>
      <c r="S452"/>
      <c r="T452"/>
      <c r="U452"/>
    </row>
    <row r="453" spans="12:21" x14ac:dyDescent="0.25">
      <c r="L453"/>
      <c r="M453"/>
      <c r="N453"/>
      <c r="O453"/>
      <c r="P453"/>
      <c r="Q453"/>
      <c r="R453"/>
      <c r="S453"/>
      <c r="T453"/>
      <c r="U453"/>
    </row>
    <row r="454" spans="12:21" x14ac:dyDescent="0.25">
      <c r="L454"/>
      <c r="M454"/>
      <c r="N454"/>
      <c r="O454"/>
      <c r="P454"/>
      <c r="Q454"/>
      <c r="R454"/>
      <c r="S454"/>
      <c r="T454"/>
      <c r="U454"/>
    </row>
    <row r="455" spans="12:21" x14ac:dyDescent="0.25">
      <c r="L455"/>
      <c r="M455"/>
      <c r="N455"/>
      <c r="O455"/>
      <c r="P455"/>
      <c r="Q455"/>
      <c r="R455"/>
      <c r="S455"/>
      <c r="T455"/>
      <c r="U455"/>
    </row>
    <row r="456" spans="12:21" x14ac:dyDescent="0.25">
      <c r="L456"/>
      <c r="M456"/>
      <c r="N456"/>
      <c r="O456"/>
      <c r="P456"/>
      <c r="Q456"/>
      <c r="R456"/>
      <c r="S456"/>
      <c r="T456"/>
      <c r="U456"/>
    </row>
    <row r="457" spans="12:21" x14ac:dyDescent="0.25">
      <c r="L457"/>
      <c r="M457"/>
      <c r="N457"/>
      <c r="O457"/>
      <c r="P457"/>
      <c r="Q457"/>
      <c r="R457"/>
      <c r="S457"/>
      <c r="T457"/>
      <c r="U457"/>
    </row>
    <row r="458" spans="12:21" x14ac:dyDescent="0.25">
      <c r="L458"/>
      <c r="M458"/>
      <c r="N458"/>
      <c r="O458"/>
      <c r="P458"/>
      <c r="Q458"/>
      <c r="R458"/>
      <c r="S458"/>
      <c r="T458"/>
      <c r="U458"/>
    </row>
    <row r="459" spans="12:21" x14ac:dyDescent="0.25">
      <c r="L459"/>
      <c r="M459"/>
      <c r="N459"/>
      <c r="O459"/>
      <c r="P459"/>
      <c r="Q459"/>
      <c r="R459"/>
      <c r="S459"/>
      <c r="T459"/>
      <c r="U459"/>
    </row>
    <row r="460" spans="12:21" x14ac:dyDescent="0.25">
      <c r="L460"/>
      <c r="M460"/>
      <c r="N460"/>
      <c r="O460"/>
      <c r="P460"/>
      <c r="Q460"/>
      <c r="R460"/>
      <c r="S460"/>
      <c r="T460"/>
      <c r="U460"/>
    </row>
    <row r="461" spans="12:21" x14ac:dyDescent="0.25">
      <c r="L461"/>
      <c r="M461"/>
      <c r="N461"/>
      <c r="O461"/>
      <c r="P461"/>
      <c r="Q461"/>
      <c r="R461"/>
      <c r="S461"/>
      <c r="T461"/>
      <c r="U461"/>
    </row>
    <row r="462" spans="12:21" x14ac:dyDescent="0.25">
      <c r="L462"/>
      <c r="M462"/>
      <c r="N462"/>
      <c r="O462"/>
      <c r="P462"/>
      <c r="Q462"/>
      <c r="R462"/>
      <c r="S462"/>
      <c r="T462"/>
      <c r="U462"/>
    </row>
    <row r="463" spans="12:21" x14ac:dyDescent="0.25">
      <c r="L463"/>
      <c r="M463"/>
      <c r="N463"/>
      <c r="O463"/>
      <c r="P463"/>
      <c r="Q463"/>
      <c r="R463"/>
      <c r="S463"/>
      <c r="T463"/>
      <c r="U463"/>
    </row>
    <row r="464" spans="12:21" x14ac:dyDescent="0.25">
      <c r="L464"/>
      <c r="M464"/>
      <c r="N464"/>
      <c r="O464"/>
      <c r="P464"/>
      <c r="Q464"/>
      <c r="R464"/>
      <c r="S464"/>
      <c r="T464"/>
      <c r="U464"/>
    </row>
    <row r="465" spans="12:21" x14ac:dyDescent="0.25">
      <c r="L465"/>
      <c r="M465"/>
      <c r="N465"/>
      <c r="O465"/>
      <c r="P465"/>
      <c r="Q465"/>
      <c r="R465"/>
      <c r="S465"/>
      <c r="T465"/>
      <c r="U465"/>
    </row>
    <row r="466" spans="12:21" x14ac:dyDescent="0.25">
      <c r="L466"/>
      <c r="M466"/>
      <c r="N466"/>
      <c r="O466"/>
      <c r="P466"/>
      <c r="Q466"/>
      <c r="R466"/>
      <c r="S466"/>
      <c r="T466"/>
      <c r="U466"/>
    </row>
    <row r="467" spans="12:21" x14ac:dyDescent="0.25">
      <c r="L467"/>
      <c r="M467"/>
      <c r="N467"/>
      <c r="O467"/>
      <c r="P467"/>
      <c r="Q467"/>
      <c r="R467"/>
      <c r="S467"/>
      <c r="T467"/>
      <c r="U467"/>
    </row>
    <row r="468" spans="12:21" x14ac:dyDescent="0.25">
      <c r="L468"/>
      <c r="M468"/>
      <c r="N468"/>
      <c r="O468"/>
      <c r="P468"/>
      <c r="Q468"/>
      <c r="R468"/>
      <c r="S468"/>
      <c r="T468"/>
      <c r="U468"/>
    </row>
    <row r="469" spans="12:21" x14ac:dyDescent="0.25">
      <c r="L469"/>
      <c r="M469"/>
      <c r="N469"/>
      <c r="O469"/>
      <c r="P469"/>
      <c r="Q469"/>
      <c r="R469"/>
      <c r="S469"/>
      <c r="T469"/>
      <c r="U469"/>
    </row>
    <row r="470" spans="12:21" x14ac:dyDescent="0.25">
      <c r="L470"/>
      <c r="M470"/>
      <c r="N470"/>
      <c r="O470"/>
      <c r="P470"/>
      <c r="Q470"/>
      <c r="R470"/>
      <c r="S470"/>
      <c r="T470"/>
      <c r="U470"/>
    </row>
    <row r="471" spans="12:21" x14ac:dyDescent="0.25">
      <c r="L471"/>
      <c r="M471"/>
      <c r="N471"/>
      <c r="O471"/>
      <c r="P471"/>
      <c r="Q471"/>
      <c r="R471"/>
      <c r="S471"/>
      <c r="T471"/>
      <c r="U471"/>
    </row>
    <row r="472" spans="12:21" x14ac:dyDescent="0.25">
      <c r="L472"/>
      <c r="M472"/>
      <c r="N472"/>
      <c r="O472"/>
      <c r="P472"/>
      <c r="Q472"/>
      <c r="R472"/>
      <c r="S472"/>
      <c r="T472"/>
      <c r="U472"/>
    </row>
    <row r="473" spans="12:21" x14ac:dyDescent="0.25">
      <c r="L473"/>
      <c r="M473"/>
      <c r="N473"/>
      <c r="O473"/>
      <c r="P473"/>
      <c r="Q473"/>
      <c r="R473"/>
      <c r="S473"/>
      <c r="T473"/>
      <c r="U473"/>
    </row>
    <row r="474" spans="12:21" x14ac:dyDescent="0.25">
      <c r="L474"/>
      <c r="M474"/>
      <c r="N474"/>
      <c r="O474"/>
      <c r="P474"/>
      <c r="Q474"/>
      <c r="R474"/>
      <c r="S474"/>
      <c r="T474"/>
      <c r="U474"/>
    </row>
    <row r="475" spans="12:21" x14ac:dyDescent="0.25">
      <c r="L475"/>
      <c r="M475"/>
      <c r="N475"/>
      <c r="O475"/>
      <c r="P475"/>
      <c r="Q475"/>
      <c r="R475"/>
      <c r="S475"/>
      <c r="T475"/>
      <c r="U475"/>
    </row>
    <row r="476" spans="12:21" x14ac:dyDescent="0.25">
      <c r="L476"/>
      <c r="M476"/>
      <c r="N476"/>
      <c r="O476"/>
      <c r="P476"/>
      <c r="Q476"/>
      <c r="R476"/>
      <c r="S476"/>
      <c r="T476"/>
      <c r="U476"/>
    </row>
    <row r="477" spans="12:21" x14ac:dyDescent="0.25">
      <c r="L477"/>
      <c r="M477"/>
      <c r="N477"/>
      <c r="O477"/>
      <c r="P477"/>
      <c r="Q477"/>
      <c r="R477"/>
      <c r="S477"/>
      <c r="T477"/>
      <c r="U477"/>
    </row>
    <row r="478" spans="12:21" x14ac:dyDescent="0.25">
      <c r="L478"/>
      <c r="M478"/>
      <c r="N478"/>
      <c r="O478"/>
      <c r="P478"/>
      <c r="Q478"/>
      <c r="R478"/>
      <c r="S478"/>
      <c r="T478"/>
      <c r="U478"/>
    </row>
    <row r="479" spans="12:21" x14ac:dyDescent="0.25">
      <c r="L479"/>
      <c r="M479"/>
      <c r="N479"/>
      <c r="O479"/>
      <c r="P479"/>
      <c r="Q479"/>
      <c r="R479"/>
      <c r="S479"/>
      <c r="T479"/>
      <c r="U479"/>
    </row>
    <row r="480" spans="12:21" x14ac:dyDescent="0.25">
      <c r="L480"/>
      <c r="M480"/>
      <c r="N480"/>
      <c r="O480"/>
      <c r="P480"/>
      <c r="Q480"/>
      <c r="R480"/>
      <c r="S480"/>
      <c r="T480"/>
      <c r="U480"/>
    </row>
    <row r="481" spans="12:21" x14ac:dyDescent="0.25">
      <c r="L481"/>
      <c r="M481"/>
      <c r="N481"/>
      <c r="O481"/>
      <c r="P481"/>
      <c r="Q481"/>
      <c r="R481"/>
      <c r="S481"/>
      <c r="T481"/>
      <c r="U481"/>
    </row>
    <row r="482" spans="12:21" x14ac:dyDescent="0.25">
      <c r="L482"/>
      <c r="M482"/>
      <c r="N482"/>
      <c r="O482"/>
      <c r="P482"/>
      <c r="Q482"/>
      <c r="R482"/>
      <c r="S482"/>
      <c r="T482"/>
      <c r="U482"/>
    </row>
    <row r="483" spans="12:21" x14ac:dyDescent="0.25">
      <c r="L483"/>
      <c r="M483"/>
      <c r="N483"/>
      <c r="O483"/>
      <c r="P483"/>
      <c r="Q483"/>
      <c r="R483"/>
      <c r="S483"/>
      <c r="T483"/>
      <c r="U483"/>
    </row>
    <row r="484" spans="12:21" x14ac:dyDescent="0.25">
      <c r="L484"/>
      <c r="M484"/>
      <c r="N484"/>
      <c r="O484"/>
      <c r="P484"/>
      <c r="Q484"/>
      <c r="R484"/>
      <c r="S484"/>
      <c r="T484"/>
      <c r="U484"/>
    </row>
    <row r="485" spans="12:21" x14ac:dyDescent="0.25">
      <c r="L485"/>
      <c r="M485"/>
      <c r="N485"/>
      <c r="O485"/>
      <c r="P485"/>
      <c r="Q485"/>
      <c r="R485"/>
      <c r="S485"/>
      <c r="T485"/>
      <c r="U485"/>
    </row>
    <row r="486" spans="12:21" x14ac:dyDescent="0.25">
      <c r="L486"/>
      <c r="M486"/>
      <c r="N486"/>
      <c r="O486"/>
      <c r="P486"/>
      <c r="Q486"/>
      <c r="R486"/>
      <c r="S486"/>
      <c r="T486"/>
      <c r="U486"/>
    </row>
    <row r="487" spans="12:21" x14ac:dyDescent="0.25">
      <c r="L487"/>
      <c r="M487"/>
      <c r="N487"/>
      <c r="O487"/>
      <c r="P487"/>
      <c r="Q487"/>
      <c r="R487"/>
      <c r="S487"/>
      <c r="T487"/>
      <c r="U487"/>
    </row>
    <row r="488" spans="12:21" x14ac:dyDescent="0.25">
      <c r="L488"/>
      <c r="M488"/>
      <c r="N488"/>
      <c r="O488"/>
      <c r="P488"/>
      <c r="Q488"/>
      <c r="R488"/>
      <c r="S488"/>
      <c r="T488"/>
      <c r="U488"/>
    </row>
    <row r="489" spans="12:21" x14ac:dyDescent="0.25">
      <c r="L489"/>
      <c r="M489"/>
      <c r="N489"/>
      <c r="O489"/>
      <c r="P489"/>
      <c r="Q489"/>
      <c r="R489"/>
      <c r="S489"/>
      <c r="T489"/>
      <c r="U489"/>
    </row>
    <row r="490" spans="12:21" x14ac:dyDescent="0.25">
      <c r="L490"/>
      <c r="M490"/>
      <c r="N490"/>
      <c r="O490"/>
      <c r="P490"/>
      <c r="Q490"/>
      <c r="R490"/>
      <c r="S490"/>
      <c r="T490"/>
      <c r="U490"/>
    </row>
    <row r="491" spans="12:21" x14ac:dyDescent="0.25">
      <c r="L491"/>
      <c r="M491"/>
      <c r="N491"/>
      <c r="O491"/>
      <c r="P491"/>
      <c r="Q491"/>
      <c r="R491"/>
      <c r="S491"/>
      <c r="T491"/>
      <c r="U491"/>
    </row>
    <row r="492" spans="12:21" x14ac:dyDescent="0.25">
      <c r="L492"/>
      <c r="M492"/>
      <c r="N492"/>
      <c r="O492"/>
      <c r="P492"/>
      <c r="Q492"/>
      <c r="R492"/>
      <c r="S492"/>
      <c r="T492"/>
      <c r="U492"/>
    </row>
    <row r="493" spans="12:21" x14ac:dyDescent="0.25">
      <c r="L493"/>
      <c r="M493"/>
      <c r="N493"/>
      <c r="O493"/>
      <c r="P493"/>
      <c r="Q493"/>
      <c r="R493"/>
      <c r="S493"/>
      <c r="T493"/>
      <c r="U493"/>
    </row>
    <row r="494" spans="12:21" x14ac:dyDescent="0.25">
      <c r="L494"/>
      <c r="M494"/>
      <c r="N494"/>
      <c r="O494"/>
      <c r="P494"/>
      <c r="Q494"/>
      <c r="R494"/>
      <c r="S494"/>
      <c r="T494"/>
      <c r="U494"/>
    </row>
    <row r="495" spans="12:21" x14ac:dyDescent="0.25">
      <c r="L495"/>
      <c r="M495"/>
      <c r="N495"/>
      <c r="O495"/>
      <c r="P495"/>
      <c r="Q495"/>
      <c r="R495"/>
      <c r="S495"/>
      <c r="T495"/>
      <c r="U495"/>
    </row>
    <row r="496" spans="12:21" x14ac:dyDescent="0.25">
      <c r="L496"/>
      <c r="M496"/>
      <c r="N496"/>
      <c r="O496"/>
      <c r="P496"/>
      <c r="Q496"/>
      <c r="R496"/>
      <c r="S496"/>
      <c r="T496"/>
      <c r="U496"/>
    </row>
    <row r="497" spans="12:21" x14ac:dyDescent="0.25">
      <c r="L497"/>
      <c r="M497"/>
      <c r="N497"/>
      <c r="O497"/>
      <c r="P497"/>
      <c r="Q497"/>
      <c r="R497"/>
      <c r="S497"/>
      <c r="T497"/>
      <c r="U497"/>
    </row>
    <row r="498" spans="12:21" x14ac:dyDescent="0.25">
      <c r="L498"/>
      <c r="M498"/>
      <c r="N498"/>
      <c r="O498"/>
      <c r="P498"/>
      <c r="Q498"/>
      <c r="R498"/>
      <c r="S498"/>
      <c r="T498"/>
      <c r="U498"/>
    </row>
    <row r="499" spans="12:21" x14ac:dyDescent="0.25">
      <c r="L499"/>
      <c r="M499"/>
      <c r="N499"/>
      <c r="O499"/>
      <c r="P499"/>
      <c r="Q499"/>
      <c r="R499"/>
      <c r="S499"/>
      <c r="T499"/>
      <c r="U499"/>
    </row>
    <row r="500" spans="12:21" x14ac:dyDescent="0.25">
      <c r="L500"/>
      <c r="M500"/>
      <c r="N500"/>
      <c r="O500"/>
      <c r="P500"/>
      <c r="Q500"/>
      <c r="R500"/>
      <c r="S500"/>
      <c r="T500"/>
      <c r="U500"/>
    </row>
    <row r="501" spans="12:21" x14ac:dyDescent="0.25">
      <c r="L501"/>
      <c r="M501"/>
      <c r="N501"/>
      <c r="O501"/>
      <c r="P501"/>
      <c r="Q501"/>
      <c r="R501"/>
      <c r="S501"/>
      <c r="T501"/>
      <c r="U501"/>
    </row>
    <row r="502" spans="12:21" x14ac:dyDescent="0.25">
      <c r="L502"/>
      <c r="M502"/>
      <c r="N502"/>
      <c r="O502"/>
      <c r="P502"/>
      <c r="Q502"/>
      <c r="R502"/>
      <c r="S502"/>
      <c r="T502"/>
      <c r="U502"/>
    </row>
    <row r="503" spans="12:21" x14ac:dyDescent="0.25">
      <c r="L503"/>
      <c r="M503"/>
      <c r="N503"/>
      <c r="O503"/>
      <c r="P503"/>
      <c r="Q503"/>
      <c r="R503"/>
      <c r="S503"/>
      <c r="T503"/>
      <c r="U503"/>
    </row>
    <row r="504" spans="12:21" x14ac:dyDescent="0.25">
      <c r="L504"/>
      <c r="M504"/>
      <c r="N504"/>
      <c r="O504"/>
      <c r="P504"/>
      <c r="Q504"/>
      <c r="R504"/>
      <c r="S504"/>
      <c r="T504"/>
      <c r="U504"/>
    </row>
    <row r="505" spans="12:21" x14ac:dyDescent="0.25">
      <c r="L505"/>
      <c r="M505"/>
      <c r="N505"/>
      <c r="O505"/>
      <c r="P505"/>
      <c r="Q505"/>
      <c r="R505"/>
      <c r="S505"/>
      <c r="T505"/>
      <c r="U505"/>
    </row>
    <row r="506" spans="12:21" x14ac:dyDescent="0.25">
      <c r="L506"/>
      <c r="M506"/>
      <c r="N506"/>
      <c r="O506"/>
      <c r="P506"/>
      <c r="Q506"/>
      <c r="R506"/>
      <c r="S506"/>
      <c r="T506"/>
      <c r="U506"/>
    </row>
    <row r="507" spans="12:21" x14ac:dyDescent="0.25">
      <c r="L507"/>
      <c r="M507"/>
      <c r="N507"/>
      <c r="O507"/>
      <c r="P507"/>
      <c r="Q507"/>
      <c r="R507"/>
      <c r="S507"/>
      <c r="T507"/>
      <c r="U507"/>
    </row>
    <row r="508" spans="12:21" x14ac:dyDescent="0.25">
      <c r="L508"/>
      <c r="M508"/>
      <c r="N508"/>
      <c r="O508"/>
      <c r="P508"/>
      <c r="Q508"/>
      <c r="R508"/>
      <c r="S508"/>
      <c r="T508"/>
      <c r="U508"/>
    </row>
    <row r="509" spans="12:21" x14ac:dyDescent="0.25">
      <c r="L509"/>
      <c r="M509"/>
      <c r="N509"/>
      <c r="O509"/>
      <c r="P509"/>
      <c r="Q509"/>
      <c r="R509"/>
      <c r="S509"/>
      <c r="T509"/>
      <c r="U509"/>
    </row>
    <row r="510" spans="12:21" x14ac:dyDescent="0.25">
      <c r="L510"/>
      <c r="M510"/>
      <c r="N510"/>
      <c r="O510"/>
      <c r="P510"/>
      <c r="Q510"/>
      <c r="R510"/>
      <c r="S510"/>
      <c r="T510"/>
      <c r="U510"/>
    </row>
    <row r="511" spans="12:21" ht="15.75" thickBot="1" x14ac:dyDescent="0.3">
      <c r="L511"/>
      <c r="M511"/>
      <c r="N511"/>
      <c r="O511"/>
      <c r="P511"/>
      <c r="Q511"/>
      <c r="R511"/>
      <c r="S511"/>
      <c r="T511"/>
      <c r="U511"/>
    </row>
    <row r="512" spans="12:21" ht="15.75" thickBot="1" x14ac:dyDescent="0.3">
      <c r="L512" s="22"/>
      <c r="M512" s="22"/>
      <c r="N512" s="22"/>
      <c r="O512" s="22"/>
      <c r="P512" s="22"/>
      <c r="Q512" s="23"/>
    </row>
    <row r="513" spans="12:17" ht="15.75" thickBot="1" x14ac:dyDescent="0.3">
      <c r="L513" s="22"/>
      <c r="M513" s="22"/>
      <c r="N513" s="22"/>
      <c r="O513" s="22"/>
      <c r="P513" s="22"/>
      <c r="Q513" s="23"/>
    </row>
    <row r="514" spans="12:17" ht="15.75" thickBot="1" x14ac:dyDescent="0.3">
      <c r="L514" s="22"/>
      <c r="M514" s="22"/>
      <c r="N514" s="22"/>
      <c r="O514" s="22"/>
      <c r="P514" s="22"/>
      <c r="Q514" s="23"/>
    </row>
    <row r="515" spans="12:17" ht="15.75" thickBot="1" x14ac:dyDescent="0.3">
      <c r="L515" s="22"/>
      <c r="M515" s="22"/>
      <c r="N515" s="22"/>
      <c r="O515" s="22"/>
      <c r="P515" s="22"/>
      <c r="Q515" s="23"/>
    </row>
    <row r="516" spans="12:17" ht="15.75" thickBot="1" x14ac:dyDescent="0.3">
      <c r="L516" s="22"/>
      <c r="M516" s="22"/>
      <c r="N516" s="22"/>
      <c r="O516" s="22"/>
      <c r="P516" s="22"/>
      <c r="Q516" s="23"/>
    </row>
    <row r="517" spans="12:17" ht="15.75" thickBot="1" x14ac:dyDescent="0.3">
      <c r="L517" s="22"/>
      <c r="M517" s="22"/>
      <c r="N517" s="22"/>
      <c r="O517" s="22"/>
      <c r="P517" s="22"/>
      <c r="Q517" s="23"/>
    </row>
    <row r="518" spans="12:17" ht="15.75" thickBot="1" x14ac:dyDescent="0.3">
      <c r="L518" s="22"/>
      <c r="M518" s="22"/>
      <c r="N518" s="22"/>
      <c r="O518" s="22"/>
      <c r="P518" s="22"/>
      <c r="Q518" s="23"/>
    </row>
    <row r="519" spans="12:17" ht="15.75" thickBot="1" x14ac:dyDescent="0.3">
      <c r="L519" s="22"/>
      <c r="M519" s="22"/>
      <c r="N519" s="22"/>
      <c r="O519" s="22"/>
      <c r="P519" s="22"/>
      <c r="Q519" s="23"/>
    </row>
    <row r="520" spans="12:17" ht="15.75" thickBot="1" x14ac:dyDescent="0.3">
      <c r="L520" s="22"/>
      <c r="M520" s="22"/>
      <c r="N520" s="22"/>
      <c r="O520" s="22"/>
      <c r="P520" s="22"/>
      <c r="Q520" s="23"/>
    </row>
    <row r="521" spans="12:17" ht="15.75" thickBot="1" x14ac:dyDescent="0.3">
      <c r="L521" s="22"/>
      <c r="M521" s="22"/>
      <c r="N521" s="22"/>
      <c r="O521" s="22"/>
      <c r="P521" s="22"/>
      <c r="Q521" s="23"/>
    </row>
    <row r="522" spans="12:17" ht="15.75" thickBot="1" x14ac:dyDescent="0.3">
      <c r="L522" s="22"/>
      <c r="M522" s="22"/>
      <c r="N522" s="22"/>
      <c r="O522" s="22"/>
      <c r="P522" s="22"/>
      <c r="Q522" s="23"/>
    </row>
    <row r="523" spans="12:17" ht="15.75" thickBot="1" x14ac:dyDescent="0.3">
      <c r="L523" s="22"/>
      <c r="M523" s="22"/>
      <c r="N523" s="22"/>
      <c r="O523" s="22"/>
      <c r="P523" s="22"/>
      <c r="Q523" s="23"/>
    </row>
    <row r="524" spans="12:17" ht="15.75" thickBot="1" x14ac:dyDescent="0.3">
      <c r="L524" s="22"/>
      <c r="M524" s="22"/>
      <c r="N524" s="22"/>
      <c r="O524" s="22"/>
      <c r="P524" s="22"/>
      <c r="Q524" s="23"/>
    </row>
    <row r="525" spans="12:17" ht="15.75" thickBot="1" x14ac:dyDescent="0.3">
      <c r="L525" s="22"/>
      <c r="M525" s="22"/>
      <c r="N525" s="22"/>
      <c r="O525" s="22"/>
      <c r="P525" s="22"/>
      <c r="Q525" s="23"/>
    </row>
    <row r="526" spans="12:17" ht="15.75" thickBot="1" x14ac:dyDescent="0.3">
      <c r="L526" s="22"/>
      <c r="M526" s="22"/>
      <c r="N526" s="22"/>
      <c r="O526" s="22"/>
      <c r="P526" s="22"/>
      <c r="Q526" s="23"/>
    </row>
    <row r="527" spans="12:17" ht="15.75" thickBot="1" x14ac:dyDescent="0.3">
      <c r="L527" s="22"/>
      <c r="M527" s="22"/>
      <c r="N527" s="22"/>
      <c r="O527" s="22"/>
      <c r="P527" s="22"/>
      <c r="Q527" s="23"/>
    </row>
    <row r="528" spans="12:17" ht="15.75" thickBot="1" x14ac:dyDescent="0.3">
      <c r="L528" s="22"/>
      <c r="M528" s="22"/>
      <c r="N528" s="22"/>
      <c r="O528" s="22"/>
      <c r="P528" s="22"/>
      <c r="Q528" s="23"/>
    </row>
    <row r="529" spans="12:17" ht="15.75" thickBot="1" x14ac:dyDescent="0.3">
      <c r="L529" s="22"/>
      <c r="M529" s="22"/>
      <c r="N529" s="22"/>
      <c r="O529" s="22"/>
      <c r="P529" s="22"/>
      <c r="Q529" s="23"/>
    </row>
    <row r="530" spans="12:17" ht="15.75" thickBot="1" x14ac:dyDescent="0.3">
      <c r="L530" s="22"/>
      <c r="M530" s="22"/>
      <c r="N530" s="22"/>
      <c r="O530" s="22"/>
      <c r="P530" s="22"/>
      <c r="Q530" s="23"/>
    </row>
    <row r="531" spans="12:17" ht="15.75" thickBot="1" x14ac:dyDescent="0.3">
      <c r="L531" s="22"/>
      <c r="M531" s="22"/>
      <c r="N531" s="22"/>
      <c r="O531" s="22"/>
      <c r="P531" s="22"/>
      <c r="Q531" s="23"/>
    </row>
    <row r="532" spans="12:17" ht="15.75" thickBot="1" x14ac:dyDescent="0.3">
      <c r="L532" s="22"/>
      <c r="M532" s="22"/>
      <c r="N532" s="22"/>
      <c r="O532" s="22"/>
      <c r="P532" s="22"/>
      <c r="Q532" s="23"/>
    </row>
    <row r="533" spans="12:17" ht="15.75" thickBot="1" x14ac:dyDescent="0.3">
      <c r="L533" s="22"/>
      <c r="M533" s="22"/>
      <c r="N533" s="22"/>
      <c r="O533" s="22"/>
      <c r="P533" s="22"/>
      <c r="Q533" s="23"/>
    </row>
    <row r="534" spans="12:17" ht="15.75" thickBot="1" x14ac:dyDescent="0.3">
      <c r="L534" s="22"/>
      <c r="M534" s="22"/>
      <c r="N534" s="22"/>
      <c r="O534" s="22"/>
      <c r="P534" s="22"/>
      <c r="Q534" s="23"/>
    </row>
    <row r="535" spans="12:17" ht="15.75" thickBot="1" x14ac:dyDescent="0.3">
      <c r="L535" s="22"/>
      <c r="M535" s="22"/>
      <c r="N535" s="22"/>
      <c r="O535" s="22"/>
      <c r="P535" s="22"/>
      <c r="Q535" s="23"/>
    </row>
    <row r="536" spans="12:17" ht="15.75" thickBot="1" x14ac:dyDescent="0.3">
      <c r="L536" s="22"/>
      <c r="M536" s="22"/>
      <c r="N536" s="22"/>
      <c r="O536" s="22"/>
      <c r="P536" s="22"/>
      <c r="Q536" s="23"/>
    </row>
    <row r="537" spans="12:17" ht="15.75" thickBot="1" x14ac:dyDescent="0.3">
      <c r="L537" s="22"/>
      <c r="M537" s="22"/>
      <c r="N537" s="22"/>
      <c r="O537" s="22"/>
      <c r="P537" s="22"/>
      <c r="Q537" s="23"/>
    </row>
    <row r="538" spans="12:17" ht="15.75" thickBot="1" x14ac:dyDescent="0.3">
      <c r="L538" s="22"/>
      <c r="M538" s="22"/>
      <c r="N538" s="22"/>
      <c r="O538" s="22"/>
      <c r="P538" s="22"/>
      <c r="Q538" s="23"/>
    </row>
    <row r="539" spans="12:17" ht="15.75" thickBot="1" x14ac:dyDescent="0.3">
      <c r="L539" s="22"/>
      <c r="M539" s="22"/>
      <c r="N539" s="22"/>
      <c r="O539" s="22"/>
      <c r="P539" s="22"/>
      <c r="Q539" s="23"/>
    </row>
    <row r="540" spans="12:17" ht="15.75" thickBot="1" x14ac:dyDescent="0.3">
      <c r="L540" s="22"/>
      <c r="M540" s="22"/>
      <c r="N540" s="22"/>
      <c r="O540" s="22"/>
      <c r="P540" s="22"/>
      <c r="Q540" s="23"/>
    </row>
    <row r="541" spans="12:17" ht="15.75" thickBot="1" x14ac:dyDescent="0.3">
      <c r="L541" s="22"/>
      <c r="M541" s="22"/>
      <c r="N541" s="22"/>
      <c r="O541" s="22"/>
      <c r="P541" s="22"/>
      <c r="Q541" s="23"/>
    </row>
    <row r="542" spans="12:17" ht="15.75" thickBot="1" x14ac:dyDescent="0.3">
      <c r="L542" s="22"/>
      <c r="M542" s="22"/>
      <c r="N542" s="22"/>
      <c r="O542" s="22"/>
      <c r="P542" s="22"/>
      <c r="Q542" s="23"/>
    </row>
    <row r="543" spans="12:17" ht="15.75" thickBot="1" x14ac:dyDescent="0.3">
      <c r="L543" s="22"/>
      <c r="M543" s="22"/>
      <c r="N543" s="22"/>
      <c r="O543" s="22"/>
      <c r="P543" s="22"/>
      <c r="Q543" s="23"/>
    </row>
    <row r="544" spans="12:17" ht="15.75" thickBot="1" x14ac:dyDescent="0.3">
      <c r="L544" s="22"/>
      <c r="M544" s="22"/>
      <c r="N544" s="22"/>
      <c r="O544" s="22"/>
      <c r="P544" s="22"/>
      <c r="Q544" s="23"/>
    </row>
    <row r="545" spans="12:17" ht="15.75" thickBot="1" x14ac:dyDescent="0.3">
      <c r="L545" s="22"/>
      <c r="M545" s="22"/>
      <c r="N545" s="22"/>
      <c r="O545" s="22"/>
      <c r="P545" s="22"/>
      <c r="Q545" s="23"/>
    </row>
    <row r="546" spans="12:17" ht="15.75" thickBot="1" x14ac:dyDescent="0.3">
      <c r="L546" s="22"/>
      <c r="M546" s="22"/>
      <c r="N546" s="22"/>
      <c r="O546" s="22"/>
      <c r="P546" s="22"/>
      <c r="Q546" s="23"/>
    </row>
    <row r="547" spans="12:17" ht="15.75" thickBot="1" x14ac:dyDescent="0.3">
      <c r="L547" s="22"/>
      <c r="M547" s="22"/>
      <c r="N547" s="22"/>
      <c r="O547" s="22"/>
      <c r="P547" s="22"/>
      <c r="Q547" s="23"/>
    </row>
    <row r="548" spans="12:17" ht="15.75" thickBot="1" x14ac:dyDescent="0.3">
      <c r="L548" s="22"/>
      <c r="M548" s="22"/>
      <c r="N548" s="22"/>
      <c r="O548" s="22"/>
      <c r="P548" s="22"/>
      <c r="Q548" s="23"/>
    </row>
    <row r="549" spans="12:17" ht="15.75" thickBot="1" x14ac:dyDescent="0.3">
      <c r="L549" s="22"/>
      <c r="M549" s="22"/>
      <c r="N549" s="22"/>
      <c r="O549" s="22"/>
      <c r="P549" s="22"/>
      <c r="Q549" s="23"/>
    </row>
    <row r="550" spans="12:17" ht="15.75" thickBot="1" x14ac:dyDescent="0.3">
      <c r="L550" s="22"/>
      <c r="M550" s="22"/>
      <c r="N550" s="22"/>
      <c r="O550" s="22"/>
      <c r="P550" s="22"/>
      <c r="Q550" s="23"/>
    </row>
    <row r="551" spans="12:17" ht="15.75" thickBot="1" x14ac:dyDescent="0.3">
      <c r="L551" s="22"/>
      <c r="M551" s="22"/>
      <c r="N551" s="22"/>
      <c r="O551" s="22"/>
      <c r="P551" s="22"/>
      <c r="Q551" s="23"/>
    </row>
    <row r="552" spans="12:17" ht="15.75" thickBot="1" x14ac:dyDescent="0.3">
      <c r="L552" s="22"/>
      <c r="M552" s="22"/>
      <c r="N552" s="22"/>
      <c r="O552" s="22"/>
      <c r="P552" s="22"/>
      <c r="Q552" s="23"/>
    </row>
    <row r="553" spans="12:17" ht="15.75" thickBot="1" x14ac:dyDescent="0.3">
      <c r="L553" s="22"/>
      <c r="M553" s="22"/>
      <c r="N553" s="22"/>
      <c r="O553" s="22"/>
      <c r="P553" s="22"/>
      <c r="Q553" s="23"/>
    </row>
    <row r="554" spans="12:17" ht="15.75" thickBot="1" x14ac:dyDescent="0.3">
      <c r="L554" s="22"/>
      <c r="M554" s="22"/>
      <c r="N554" s="22"/>
      <c r="O554" s="22"/>
      <c r="P554" s="22"/>
      <c r="Q554" s="23"/>
    </row>
    <row r="555" spans="12:17" ht="15.75" thickBot="1" x14ac:dyDescent="0.3">
      <c r="L555" s="22"/>
      <c r="M555" s="22"/>
      <c r="N555" s="22"/>
      <c r="O555" s="22"/>
      <c r="P555" s="22"/>
      <c r="Q555" s="23"/>
    </row>
    <row r="556" spans="12:17" ht="15.75" thickBot="1" x14ac:dyDescent="0.3">
      <c r="L556" s="22"/>
      <c r="M556" s="22"/>
      <c r="N556" s="22"/>
      <c r="O556" s="22"/>
      <c r="P556" s="22"/>
      <c r="Q556" s="23"/>
    </row>
    <row r="557" spans="12:17" ht="15.75" thickBot="1" x14ac:dyDescent="0.3">
      <c r="L557" s="22"/>
      <c r="M557" s="22"/>
      <c r="N557" s="22"/>
      <c r="O557" s="22"/>
      <c r="P557" s="22"/>
      <c r="Q557" s="23"/>
    </row>
    <row r="558" spans="12:17" ht="15.75" thickBot="1" x14ac:dyDescent="0.3">
      <c r="L558" s="22"/>
      <c r="M558" s="22"/>
      <c r="N558" s="22"/>
      <c r="O558" s="22"/>
      <c r="P558" s="22"/>
      <c r="Q558" s="23"/>
    </row>
    <row r="559" spans="12:17" ht="15.75" thickBot="1" x14ac:dyDescent="0.3">
      <c r="L559" s="22"/>
      <c r="M559" s="22"/>
      <c r="N559" s="22"/>
      <c r="O559" s="22"/>
      <c r="P559" s="22"/>
      <c r="Q559" s="23"/>
    </row>
    <row r="560" spans="12:17" ht="15.75" thickBot="1" x14ac:dyDescent="0.3">
      <c r="L560" s="22"/>
      <c r="M560" s="22"/>
      <c r="N560" s="22"/>
      <c r="O560" s="22"/>
      <c r="P560" s="22"/>
      <c r="Q560" s="23"/>
    </row>
    <row r="561" spans="12:17" ht="15.75" thickBot="1" x14ac:dyDescent="0.3">
      <c r="L561" s="22"/>
      <c r="M561" s="22"/>
      <c r="N561" s="22"/>
      <c r="O561" s="22"/>
      <c r="P561" s="22"/>
      <c r="Q561" s="23"/>
    </row>
    <row r="562" spans="12:17" ht="15.75" thickBot="1" x14ac:dyDescent="0.3">
      <c r="L562" s="22"/>
      <c r="M562" s="22"/>
      <c r="N562" s="22"/>
      <c r="O562" s="22"/>
      <c r="P562" s="22"/>
      <c r="Q562" s="23"/>
    </row>
    <row r="563" spans="12:17" ht="15.75" thickBot="1" x14ac:dyDescent="0.3">
      <c r="L563" s="22"/>
      <c r="M563" s="22"/>
      <c r="N563" s="22"/>
      <c r="O563" s="22"/>
      <c r="P563" s="22"/>
      <c r="Q563" s="23"/>
    </row>
    <row r="564" spans="12:17" ht="15.75" thickBot="1" x14ac:dyDescent="0.3">
      <c r="L564" s="22"/>
      <c r="M564" s="22"/>
      <c r="N564" s="22"/>
      <c r="O564" s="22"/>
      <c r="P564" s="22"/>
      <c r="Q564" s="23"/>
    </row>
    <row r="565" spans="12:17" ht="15.75" thickBot="1" x14ac:dyDescent="0.3">
      <c r="L565" s="22"/>
      <c r="M565" s="22"/>
      <c r="N565" s="22"/>
      <c r="O565" s="22"/>
      <c r="P565" s="22"/>
      <c r="Q565" s="23"/>
    </row>
    <row r="566" spans="12:17" ht="15.75" thickBot="1" x14ac:dyDescent="0.3">
      <c r="L566" s="22"/>
      <c r="M566" s="22"/>
      <c r="N566" s="22"/>
      <c r="O566" s="22"/>
      <c r="P566" s="22"/>
      <c r="Q566" s="23"/>
    </row>
    <row r="567" spans="12:17" ht="15.75" thickBot="1" x14ac:dyDescent="0.3">
      <c r="L567" s="22"/>
      <c r="M567" s="22"/>
      <c r="N567" s="22"/>
      <c r="O567" s="22"/>
      <c r="P567" s="22"/>
      <c r="Q567" s="23"/>
    </row>
    <row r="568" spans="12:17" ht="15.75" thickBot="1" x14ac:dyDescent="0.3">
      <c r="L568" s="22"/>
      <c r="M568" s="22"/>
      <c r="N568" s="22"/>
      <c r="O568" s="22"/>
      <c r="P568" s="22"/>
      <c r="Q568" s="23"/>
    </row>
    <row r="569" spans="12:17" ht="15.75" thickBot="1" x14ac:dyDescent="0.3">
      <c r="L569" s="22"/>
      <c r="M569" s="22"/>
      <c r="N569" s="22"/>
      <c r="O569" s="22"/>
      <c r="P569" s="22"/>
      <c r="Q569" s="23"/>
    </row>
    <row r="570" spans="12:17" ht="15.75" thickBot="1" x14ac:dyDescent="0.3">
      <c r="L570" s="22"/>
      <c r="M570" s="22"/>
      <c r="N570" s="22"/>
      <c r="O570" s="22"/>
      <c r="P570" s="22"/>
      <c r="Q570" s="23"/>
    </row>
    <row r="571" spans="12:17" ht="15.75" thickBot="1" x14ac:dyDescent="0.3">
      <c r="L571" s="22"/>
      <c r="M571" s="22"/>
      <c r="N571" s="22"/>
      <c r="O571" s="22"/>
      <c r="P571" s="22"/>
      <c r="Q571" s="23"/>
    </row>
    <row r="572" spans="12:17" ht="15.75" thickBot="1" x14ac:dyDescent="0.3">
      <c r="L572" s="22"/>
      <c r="M572" s="22"/>
      <c r="N572" s="22"/>
      <c r="O572" s="22"/>
      <c r="P572" s="22"/>
      <c r="Q572" s="23"/>
    </row>
    <row r="573" spans="12:17" ht="15.75" thickBot="1" x14ac:dyDescent="0.3">
      <c r="L573" s="22"/>
      <c r="M573" s="22"/>
      <c r="N573" s="22"/>
      <c r="O573" s="22"/>
      <c r="P573" s="22"/>
      <c r="Q573" s="23"/>
    </row>
    <row r="574" spans="12:17" ht="15.75" thickBot="1" x14ac:dyDescent="0.3">
      <c r="L574" s="22"/>
      <c r="M574" s="22"/>
      <c r="N574" s="22"/>
      <c r="O574" s="22"/>
      <c r="P574" s="22"/>
      <c r="Q574" s="23"/>
    </row>
    <row r="575" spans="12:17" ht="15.75" thickBot="1" x14ac:dyDescent="0.3">
      <c r="L575" s="22"/>
      <c r="M575" s="22"/>
      <c r="N575" s="22"/>
      <c r="O575" s="22"/>
      <c r="P575" s="22"/>
      <c r="Q575" s="23"/>
    </row>
    <row r="576" spans="12:17" ht="15.75" thickBot="1" x14ac:dyDescent="0.3">
      <c r="L576" s="22"/>
      <c r="M576" s="22"/>
      <c r="N576" s="22"/>
      <c r="O576" s="22"/>
      <c r="P576" s="22"/>
      <c r="Q576" s="23"/>
    </row>
    <row r="577" spans="12:17" ht="15.75" thickBot="1" x14ac:dyDescent="0.3">
      <c r="L577" s="22"/>
      <c r="M577" s="22"/>
      <c r="N577" s="22"/>
      <c r="O577" s="22"/>
      <c r="P577" s="22"/>
      <c r="Q577" s="23"/>
    </row>
    <row r="578" spans="12:17" ht="15.75" thickBot="1" x14ac:dyDescent="0.3">
      <c r="L578" s="22"/>
      <c r="M578" s="22"/>
      <c r="N578" s="22"/>
      <c r="O578" s="22"/>
      <c r="P578" s="22"/>
      <c r="Q578" s="23"/>
    </row>
    <row r="579" spans="12:17" ht="15.75" thickBot="1" x14ac:dyDescent="0.3">
      <c r="L579" s="22"/>
      <c r="M579" s="22"/>
      <c r="N579" s="22"/>
      <c r="O579" s="22"/>
      <c r="P579" s="22"/>
      <c r="Q579" s="23"/>
    </row>
    <row r="580" spans="12:17" ht="15.75" thickBot="1" x14ac:dyDescent="0.3">
      <c r="L580" s="22"/>
      <c r="M580" s="22"/>
      <c r="N580" s="22"/>
      <c r="O580" s="22"/>
      <c r="P580" s="22"/>
      <c r="Q580" s="23"/>
    </row>
    <row r="581" spans="12:17" ht="15.75" thickBot="1" x14ac:dyDescent="0.3">
      <c r="L581" s="22"/>
      <c r="M581" s="22"/>
      <c r="N581" s="22"/>
      <c r="O581" s="22"/>
      <c r="P581" s="22"/>
      <c r="Q581" s="23"/>
    </row>
    <row r="582" spans="12:17" ht="15.75" thickBot="1" x14ac:dyDescent="0.3">
      <c r="L582" s="22"/>
      <c r="M582" s="22"/>
      <c r="N582" s="22"/>
      <c r="O582" s="22"/>
      <c r="P582" s="22"/>
      <c r="Q582" s="23"/>
    </row>
    <row r="583" spans="12:17" ht="15.75" thickBot="1" x14ac:dyDescent="0.3">
      <c r="L583" s="22"/>
      <c r="M583" s="22"/>
      <c r="N583" s="22"/>
      <c r="O583" s="22"/>
      <c r="P583" s="22"/>
      <c r="Q583" s="23"/>
    </row>
    <row r="584" spans="12:17" ht="15.75" thickBot="1" x14ac:dyDescent="0.3">
      <c r="L584" s="22"/>
      <c r="M584" s="22"/>
      <c r="N584" s="22"/>
      <c r="O584" s="22"/>
      <c r="P584" s="22"/>
      <c r="Q584" s="23"/>
    </row>
    <row r="585" spans="12:17" ht="15.75" thickBot="1" x14ac:dyDescent="0.3">
      <c r="L585" s="22"/>
      <c r="M585" s="22"/>
      <c r="N585" s="22"/>
      <c r="O585" s="22"/>
      <c r="P585" s="22"/>
      <c r="Q585" s="23"/>
    </row>
    <row r="586" spans="12:17" ht="15.75" thickBot="1" x14ac:dyDescent="0.3">
      <c r="L586" s="22"/>
      <c r="M586" s="22"/>
      <c r="N586" s="22"/>
      <c r="O586" s="22"/>
      <c r="P586" s="22"/>
      <c r="Q586" s="23"/>
    </row>
    <row r="587" spans="12:17" ht="15.75" thickBot="1" x14ac:dyDescent="0.3">
      <c r="L587" s="22"/>
      <c r="M587" s="22"/>
      <c r="N587" s="22"/>
      <c r="O587" s="22"/>
      <c r="P587" s="22"/>
      <c r="Q587" s="23"/>
    </row>
    <row r="588" spans="12:17" ht="15.75" thickBot="1" x14ac:dyDescent="0.3">
      <c r="L588" s="22"/>
      <c r="M588" s="22"/>
      <c r="N588" s="22"/>
      <c r="O588" s="22"/>
      <c r="P588" s="22"/>
      <c r="Q588" s="23"/>
    </row>
    <row r="589" spans="12:17" ht="15.75" thickBot="1" x14ac:dyDescent="0.3">
      <c r="L589" s="22"/>
      <c r="M589" s="22"/>
      <c r="N589" s="22"/>
      <c r="O589" s="22"/>
      <c r="P589" s="22"/>
      <c r="Q589" s="23"/>
    </row>
    <row r="590" spans="12:17" ht="15.75" thickBot="1" x14ac:dyDescent="0.3">
      <c r="L590" s="22"/>
      <c r="M590" s="22"/>
      <c r="N590" s="22"/>
      <c r="O590" s="22"/>
      <c r="P590" s="22"/>
      <c r="Q590" s="23"/>
    </row>
    <row r="591" spans="12:17" ht="15.75" thickBot="1" x14ac:dyDescent="0.3">
      <c r="L591" s="22"/>
      <c r="M591" s="22"/>
      <c r="N591" s="22"/>
      <c r="O591" s="22"/>
      <c r="P591" s="22"/>
      <c r="Q591" s="23"/>
    </row>
    <row r="592" spans="12:17" ht="15.75" thickBot="1" x14ac:dyDescent="0.3">
      <c r="L592" s="22"/>
      <c r="M592" s="22"/>
      <c r="N592" s="22"/>
      <c r="O592" s="22"/>
      <c r="P592" s="22"/>
      <c r="Q592" s="23"/>
    </row>
    <row r="593" spans="12:17" ht="15.75" thickBot="1" x14ac:dyDescent="0.3">
      <c r="L593" s="22"/>
      <c r="M593" s="22"/>
      <c r="N593" s="22"/>
      <c r="O593" s="22"/>
      <c r="P593" s="22"/>
      <c r="Q593" s="23"/>
    </row>
    <row r="594" spans="12:17" ht="15.75" thickBot="1" x14ac:dyDescent="0.3">
      <c r="L594" s="22"/>
      <c r="M594" s="22"/>
      <c r="N594" s="22"/>
      <c r="O594" s="22"/>
      <c r="P594" s="22"/>
      <c r="Q594" s="23"/>
    </row>
    <row r="595" spans="12:17" ht="15.75" thickBot="1" x14ac:dyDescent="0.3">
      <c r="L595" s="22"/>
      <c r="M595" s="22"/>
      <c r="N595" s="22"/>
      <c r="O595" s="22"/>
      <c r="P595" s="22"/>
      <c r="Q595" s="23"/>
    </row>
    <row r="596" spans="12:17" ht="15.75" thickBot="1" x14ac:dyDescent="0.3">
      <c r="L596" s="22"/>
      <c r="M596" s="22"/>
      <c r="N596" s="22"/>
      <c r="O596" s="22"/>
      <c r="P596" s="22"/>
      <c r="Q596" s="23"/>
    </row>
    <row r="597" spans="12:17" ht="15.75" thickBot="1" x14ac:dyDescent="0.3">
      <c r="L597" s="22"/>
      <c r="M597" s="22"/>
      <c r="N597" s="22"/>
      <c r="O597" s="22"/>
      <c r="P597" s="22"/>
      <c r="Q597" s="23"/>
    </row>
    <row r="598" spans="12:17" ht="15.75" thickBot="1" x14ac:dyDescent="0.3">
      <c r="L598" s="22"/>
      <c r="M598" s="22"/>
      <c r="N598" s="22"/>
      <c r="O598" s="22"/>
      <c r="P598" s="22"/>
      <c r="Q598" s="23"/>
    </row>
    <row r="599" spans="12:17" ht="15.75" thickBot="1" x14ac:dyDescent="0.3">
      <c r="L599" s="22"/>
      <c r="M599" s="22"/>
      <c r="N599" s="22"/>
      <c r="O599" s="22"/>
      <c r="P599" s="22"/>
      <c r="Q599" s="23"/>
    </row>
    <row r="600" spans="12:17" ht="15.75" thickBot="1" x14ac:dyDescent="0.3">
      <c r="L600" s="22"/>
      <c r="M600" s="22"/>
      <c r="N600" s="22"/>
      <c r="O600" s="22"/>
      <c r="P600" s="22"/>
      <c r="Q600" s="23"/>
    </row>
    <row r="601" spans="12:17" ht="15.75" thickBot="1" x14ac:dyDescent="0.3">
      <c r="L601" s="22"/>
      <c r="M601" s="22"/>
      <c r="N601" s="22"/>
      <c r="O601" s="22"/>
      <c r="P601" s="22"/>
      <c r="Q601" s="23"/>
    </row>
    <row r="602" spans="12:17" ht="15.75" thickBot="1" x14ac:dyDescent="0.3">
      <c r="L602" s="22"/>
      <c r="M602" s="22"/>
      <c r="N602" s="22"/>
      <c r="O602" s="22"/>
      <c r="P602" s="22"/>
      <c r="Q602" s="23"/>
    </row>
    <row r="603" spans="12:17" ht="15.75" thickBot="1" x14ac:dyDescent="0.3">
      <c r="L603" s="22"/>
      <c r="M603" s="22"/>
      <c r="N603" s="22"/>
      <c r="O603" s="22"/>
      <c r="P603" s="22"/>
      <c r="Q603" s="23"/>
    </row>
    <row r="604" spans="12:17" ht="15.75" thickBot="1" x14ac:dyDescent="0.3">
      <c r="L604" s="22"/>
      <c r="M604" s="22"/>
      <c r="N604" s="22"/>
      <c r="O604" s="22"/>
      <c r="P604" s="22"/>
      <c r="Q604" s="23"/>
    </row>
    <row r="605" spans="12:17" ht="15.75" thickBot="1" x14ac:dyDescent="0.3">
      <c r="L605" s="22"/>
      <c r="M605" s="22"/>
      <c r="N605" s="22"/>
      <c r="O605" s="22"/>
      <c r="P605" s="22"/>
      <c r="Q605" s="23"/>
    </row>
    <row r="606" spans="12:17" ht="15.75" thickBot="1" x14ac:dyDescent="0.3">
      <c r="L606" s="22"/>
      <c r="M606" s="22"/>
      <c r="N606" s="22"/>
      <c r="O606" s="22"/>
      <c r="P606" s="22"/>
      <c r="Q606" s="23"/>
    </row>
    <row r="607" spans="12:17" ht="15.75" thickBot="1" x14ac:dyDescent="0.3">
      <c r="L607" s="22"/>
      <c r="M607" s="22"/>
      <c r="N607" s="22"/>
      <c r="O607" s="22"/>
      <c r="P607" s="22"/>
      <c r="Q607" s="23"/>
    </row>
    <row r="608" spans="12:17" ht="15.75" thickBot="1" x14ac:dyDescent="0.3">
      <c r="L608" s="22"/>
      <c r="M608" s="22"/>
      <c r="N608" s="22"/>
      <c r="O608" s="22"/>
      <c r="P608" s="22"/>
      <c r="Q608" s="23"/>
    </row>
    <row r="609" spans="12:17" ht="15.75" thickBot="1" x14ac:dyDescent="0.3">
      <c r="L609" s="22"/>
      <c r="M609" s="22"/>
      <c r="N609" s="22"/>
      <c r="O609" s="22"/>
      <c r="P609" s="22"/>
      <c r="Q609" s="23"/>
    </row>
    <row r="610" spans="12:17" ht="15.75" thickBot="1" x14ac:dyDescent="0.3">
      <c r="L610" s="22"/>
      <c r="M610" s="22"/>
      <c r="N610" s="22"/>
      <c r="O610" s="22"/>
      <c r="P610" s="22"/>
      <c r="Q610" s="23"/>
    </row>
    <row r="611" spans="12:17" ht="15.75" thickBot="1" x14ac:dyDescent="0.3">
      <c r="L611" s="22"/>
      <c r="M611" s="22"/>
      <c r="N611" s="22"/>
      <c r="O611" s="22"/>
      <c r="P611" s="22"/>
      <c r="Q611" s="23"/>
    </row>
    <row r="612" spans="12:17" ht="15.75" thickBot="1" x14ac:dyDescent="0.3">
      <c r="L612" s="22"/>
      <c r="M612" s="22"/>
      <c r="N612" s="22"/>
      <c r="O612" s="22"/>
      <c r="P612" s="22"/>
      <c r="Q612" s="23"/>
    </row>
    <row r="613" spans="12:17" ht="15.75" thickBot="1" x14ac:dyDescent="0.3">
      <c r="L613" s="22"/>
      <c r="M613" s="22"/>
      <c r="N613" s="22"/>
      <c r="O613" s="22"/>
      <c r="P613" s="22"/>
      <c r="Q613" s="23"/>
    </row>
    <row r="614" spans="12:17" ht="15.75" thickBot="1" x14ac:dyDescent="0.3">
      <c r="L614" s="22"/>
      <c r="M614" s="22"/>
      <c r="N614" s="22"/>
      <c r="O614" s="22"/>
      <c r="P614" s="22"/>
      <c r="Q614" s="23"/>
    </row>
    <row r="615" spans="12:17" ht="15.75" thickBot="1" x14ac:dyDescent="0.3">
      <c r="L615" s="22"/>
      <c r="M615" s="22"/>
      <c r="N615" s="22"/>
      <c r="O615" s="22"/>
      <c r="P615" s="22"/>
      <c r="Q615" s="23"/>
    </row>
    <row r="616" spans="12:17" ht="15.75" thickBot="1" x14ac:dyDescent="0.3">
      <c r="L616" s="22"/>
      <c r="M616" s="22"/>
      <c r="N616" s="22"/>
      <c r="O616" s="22"/>
      <c r="P616" s="22"/>
      <c r="Q616" s="23"/>
    </row>
    <row r="617" spans="12:17" ht="15.75" thickBot="1" x14ac:dyDescent="0.3">
      <c r="L617" s="22"/>
      <c r="M617" s="22"/>
      <c r="N617" s="22"/>
      <c r="O617" s="22"/>
      <c r="P617" s="22"/>
      <c r="Q617" s="23"/>
    </row>
    <row r="618" spans="12:17" ht="15.75" thickBot="1" x14ac:dyDescent="0.3">
      <c r="L618" s="22"/>
      <c r="M618" s="22"/>
      <c r="N618" s="22"/>
      <c r="O618" s="22"/>
      <c r="P618" s="22"/>
      <c r="Q618" s="23"/>
    </row>
    <row r="619" spans="12:17" ht="15.75" thickBot="1" x14ac:dyDescent="0.3">
      <c r="L619" s="22"/>
      <c r="M619" s="22"/>
      <c r="N619" s="22"/>
      <c r="O619" s="22"/>
      <c r="P619" s="22"/>
      <c r="Q619" s="23"/>
    </row>
    <row r="620" spans="12:17" ht="15.75" thickBot="1" x14ac:dyDescent="0.3">
      <c r="L620" s="22"/>
      <c r="M620" s="22"/>
      <c r="N620" s="22"/>
      <c r="O620" s="22"/>
      <c r="P620" s="22"/>
      <c r="Q620" s="23"/>
    </row>
    <row r="621" spans="12:17" ht="15.75" thickBot="1" x14ac:dyDescent="0.3">
      <c r="L621" s="22"/>
      <c r="M621" s="22"/>
      <c r="N621" s="22"/>
      <c r="O621" s="22"/>
      <c r="P621" s="22"/>
      <c r="Q621" s="23"/>
    </row>
    <row r="622" spans="12:17" ht="15.75" thickBot="1" x14ac:dyDescent="0.3">
      <c r="L622" s="22"/>
      <c r="M622" s="22"/>
      <c r="N622" s="22"/>
      <c r="O622" s="22"/>
      <c r="P622" s="22"/>
      <c r="Q622" s="23"/>
    </row>
    <row r="623" spans="12:17" ht="15.75" thickBot="1" x14ac:dyDescent="0.3">
      <c r="L623" s="22"/>
      <c r="M623" s="22"/>
      <c r="N623" s="22"/>
      <c r="O623" s="22"/>
      <c r="P623" s="22"/>
      <c r="Q623" s="23"/>
    </row>
    <row r="624" spans="12:17" ht="15.75" thickBot="1" x14ac:dyDescent="0.3">
      <c r="L624" s="22"/>
      <c r="M624" s="22"/>
      <c r="N624" s="22"/>
      <c r="O624" s="22"/>
      <c r="P624" s="22"/>
      <c r="Q624" s="23"/>
    </row>
    <row r="625" spans="12:17" ht="15.75" thickBot="1" x14ac:dyDescent="0.3">
      <c r="L625" s="22"/>
      <c r="M625" s="22"/>
      <c r="N625" s="22"/>
      <c r="O625" s="22"/>
      <c r="P625" s="22"/>
      <c r="Q625" s="23"/>
    </row>
    <row r="626" spans="12:17" ht="15.75" thickBot="1" x14ac:dyDescent="0.3">
      <c r="L626" s="22"/>
      <c r="M626" s="22"/>
      <c r="N626" s="22"/>
      <c r="O626" s="22"/>
      <c r="P626" s="22"/>
      <c r="Q626" s="23"/>
    </row>
    <row r="627" spans="12:17" ht="15.75" thickBot="1" x14ac:dyDescent="0.3">
      <c r="L627" s="22"/>
      <c r="M627" s="22"/>
      <c r="N627" s="22"/>
      <c r="O627" s="22"/>
      <c r="P627" s="22"/>
      <c r="Q627" s="23"/>
    </row>
    <row r="628" spans="12:17" ht="15.75" thickBot="1" x14ac:dyDescent="0.3">
      <c r="L628" s="22"/>
      <c r="M628" s="22"/>
      <c r="N628" s="22"/>
      <c r="O628" s="22"/>
      <c r="P628" s="22"/>
      <c r="Q628" s="23"/>
    </row>
    <row r="629" spans="12:17" ht="15.75" thickBot="1" x14ac:dyDescent="0.3">
      <c r="L629" s="22"/>
      <c r="M629" s="22"/>
      <c r="N629" s="22"/>
      <c r="O629" s="22"/>
      <c r="P629" s="22"/>
      <c r="Q629" s="23"/>
    </row>
    <row r="630" spans="12:17" ht="15.75" thickBot="1" x14ac:dyDescent="0.3">
      <c r="L630" s="22"/>
      <c r="M630" s="22"/>
      <c r="N630" s="22"/>
      <c r="O630" s="22"/>
      <c r="P630" s="22"/>
      <c r="Q630" s="23"/>
    </row>
    <row r="631" spans="12:17" ht="15.75" thickBot="1" x14ac:dyDescent="0.3">
      <c r="L631" s="22"/>
      <c r="M631" s="22"/>
      <c r="N631" s="22"/>
      <c r="O631" s="22"/>
      <c r="P631" s="22"/>
      <c r="Q631" s="23"/>
    </row>
    <row r="632" spans="12:17" ht="15.75" thickBot="1" x14ac:dyDescent="0.3">
      <c r="L632" s="22"/>
      <c r="M632" s="22"/>
      <c r="N632" s="22"/>
      <c r="O632" s="22"/>
      <c r="P632" s="22"/>
      <c r="Q632" s="23"/>
    </row>
    <row r="633" spans="12:17" ht="15.75" thickBot="1" x14ac:dyDescent="0.3">
      <c r="L633" s="22"/>
      <c r="M633" s="22"/>
      <c r="N633" s="22"/>
      <c r="O633" s="22"/>
      <c r="P633" s="22"/>
      <c r="Q633" s="23"/>
    </row>
    <row r="634" spans="12:17" ht="15.75" thickBot="1" x14ac:dyDescent="0.3">
      <c r="L634" s="22"/>
      <c r="M634" s="22"/>
      <c r="N634" s="22"/>
      <c r="O634" s="22"/>
      <c r="P634" s="22"/>
      <c r="Q634" s="23"/>
    </row>
    <row r="635" spans="12:17" ht="15.75" thickBot="1" x14ac:dyDescent="0.3">
      <c r="L635" s="22"/>
      <c r="M635" s="22"/>
      <c r="N635" s="22"/>
      <c r="O635" s="22"/>
      <c r="P635" s="22"/>
      <c r="Q635" s="23"/>
    </row>
    <row r="636" spans="12:17" ht="15.75" thickBot="1" x14ac:dyDescent="0.3">
      <c r="L636" s="22"/>
      <c r="M636" s="22"/>
      <c r="N636" s="22"/>
      <c r="O636" s="22"/>
      <c r="P636" s="22"/>
      <c r="Q636" s="23"/>
    </row>
    <row r="637" spans="12:17" ht="15.75" thickBot="1" x14ac:dyDescent="0.3">
      <c r="L637" s="22"/>
      <c r="M637" s="22"/>
      <c r="N637" s="22"/>
      <c r="O637" s="22"/>
      <c r="P637" s="22"/>
      <c r="Q637" s="23"/>
    </row>
    <row r="638" spans="12:17" ht="15.75" thickBot="1" x14ac:dyDescent="0.3">
      <c r="L638" s="22"/>
      <c r="M638" s="22"/>
      <c r="N638" s="22"/>
      <c r="O638" s="22"/>
      <c r="P638" s="22"/>
      <c r="Q638" s="23"/>
    </row>
    <row r="639" spans="12:17" ht="15.75" thickBot="1" x14ac:dyDescent="0.3">
      <c r="L639" s="22"/>
      <c r="M639" s="22"/>
      <c r="N639" s="22"/>
      <c r="O639" s="22"/>
      <c r="P639" s="22"/>
      <c r="Q639" s="23"/>
    </row>
    <row r="640" spans="12:17" ht="15.75" thickBot="1" x14ac:dyDescent="0.3">
      <c r="L640" s="22"/>
      <c r="M640" s="22"/>
      <c r="N640" s="22"/>
      <c r="O640" s="22"/>
      <c r="P640" s="22"/>
      <c r="Q640" s="23"/>
    </row>
    <row r="641" spans="12:17" ht="15.75" thickBot="1" x14ac:dyDescent="0.3">
      <c r="L641" s="22"/>
      <c r="M641" s="22"/>
      <c r="N641" s="22"/>
      <c r="O641" s="22"/>
      <c r="P641" s="22"/>
      <c r="Q641" s="23"/>
    </row>
    <row r="642" spans="12:17" ht="15.75" thickBot="1" x14ac:dyDescent="0.3">
      <c r="L642" s="22"/>
      <c r="M642" s="22"/>
      <c r="N642" s="22"/>
      <c r="O642" s="22"/>
      <c r="P642" s="22"/>
      <c r="Q642" s="23"/>
    </row>
    <row r="643" spans="12:17" ht="15.75" thickBot="1" x14ac:dyDescent="0.3">
      <c r="L643" s="22"/>
      <c r="M643" s="22"/>
      <c r="N643" s="22"/>
      <c r="O643" s="22"/>
      <c r="P643" s="22"/>
      <c r="Q643" s="23"/>
    </row>
    <row r="644" spans="12:17" ht="15.75" thickBot="1" x14ac:dyDescent="0.3">
      <c r="L644" s="22"/>
      <c r="M644" s="22"/>
      <c r="N644" s="22"/>
      <c r="O644" s="22"/>
      <c r="P644" s="22"/>
      <c r="Q644" s="23"/>
    </row>
    <row r="645" spans="12:17" ht="15.75" thickBot="1" x14ac:dyDescent="0.3">
      <c r="L645" s="22"/>
      <c r="M645" s="22"/>
      <c r="N645" s="22"/>
      <c r="O645" s="22"/>
      <c r="P645" s="22"/>
      <c r="Q645" s="23"/>
    </row>
    <row r="646" spans="12:17" ht="15.75" thickBot="1" x14ac:dyDescent="0.3">
      <c r="L646" s="22"/>
      <c r="M646" s="22"/>
      <c r="N646" s="22"/>
      <c r="O646" s="22"/>
      <c r="P646" s="22"/>
      <c r="Q646" s="23"/>
    </row>
    <row r="647" spans="12:17" ht="15.75" thickBot="1" x14ac:dyDescent="0.3">
      <c r="L647" s="22"/>
      <c r="M647" s="22"/>
      <c r="N647" s="22"/>
      <c r="O647" s="22"/>
      <c r="P647" s="22"/>
      <c r="Q647" s="23"/>
    </row>
    <row r="648" spans="12:17" ht="15.75" thickBot="1" x14ac:dyDescent="0.3">
      <c r="L648" s="22"/>
      <c r="M648" s="22"/>
      <c r="N648" s="22"/>
      <c r="O648" s="22"/>
      <c r="P648" s="22"/>
      <c r="Q648" s="23"/>
    </row>
    <row r="649" spans="12:17" ht="15.75" thickBot="1" x14ac:dyDescent="0.3">
      <c r="L649" s="22"/>
      <c r="M649" s="22"/>
      <c r="N649" s="22"/>
      <c r="O649" s="22"/>
      <c r="P649" s="22"/>
      <c r="Q649" s="23"/>
    </row>
    <row r="650" spans="12:17" ht="15.75" thickBot="1" x14ac:dyDescent="0.3">
      <c r="L650" s="22"/>
      <c r="M650" s="22"/>
      <c r="N650" s="22"/>
      <c r="O650" s="22"/>
      <c r="P650" s="22"/>
      <c r="Q650" s="23"/>
    </row>
    <row r="651" spans="12:17" ht="15.75" thickBot="1" x14ac:dyDescent="0.3">
      <c r="L651" s="22"/>
      <c r="M651" s="22"/>
      <c r="N651" s="22"/>
      <c r="O651" s="22"/>
      <c r="P651" s="22"/>
      <c r="Q651" s="23"/>
    </row>
    <row r="652" spans="12:17" ht="15.75" thickBot="1" x14ac:dyDescent="0.3">
      <c r="L652" s="22"/>
      <c r="M652" s="22"/>
      <c r="N652" s="22"/>
      <c r="O652" s="22"/>
      <c r="P652" s="22"/>
      <c r="Q652" s="23"/>
    </row>
    <row r="653" spans="12:17" ht="15.75" thickBot="1" x14ac:dyDescent="0.3">
      <c r="L653" s="22"/>
      <c r="M653" s="22"/>
      <c r="N653" s="22"/>
      <c r="O653" s="22"/>
      <c r="P653" s="22"/>
      <c r="Q653" s="23"/>
    </row>
    <row r="654" spans="12:17" ht="15.75" thickBot="1" x14ac:dyDescent="0.3">
      <c r="L654" s="22"/>
      <c r="M654" s="22"/>
      <c r="N654" s="22"/>
      <c r="O654" s="22"/>
      <c r="P654" s="22"/>
      <c r="Q654" s="23"/>
    </row>
    <row r="655" spans="12:17" ht="15.75" thickBot="1" x14ac:dyDescent="0.3">
      <c r="L655" s="22"/>
      <c r="M655" s="22"/>
      <c r="N655" s="22"/>
      <c r="O655" s="22"/>
      <c r="P655" s="22"/>
      <c r="Q655" s="23"/>
    </row>
    <row r="656" spans="12:17" ht="15.75" thickBot="1" x14ac:dyDescent="0.3">
      <c r="L656" s="22"/>
      <c r="M656" s="22"/>
      <c r="N656" s="22"/>
      <c r="O656" s="22"/>
      <c r="P656" s="22"/>
      <c r="Q656" s="23"/>
    </row>
    <row r="657" spans="12:17" ht="15.75" thickBot="1" x14ac:dyDescent="0.3">
      <c r="L657" s="22"/>
      <c r="M657" s="22"/>
      <c r="N657" s="22"/>
      <c r="O657" s="22"/>
      <c r="P657" s="22"/>
      <c r="Q657" s="23"/>
    </row>
    <row r="658" spans="12:17" ht="15.75" thickBot="1" x14ac:dyDescent="0.3">
      <c r="L658" s="22"/>
      <c r="M658" s="22"/>
      <c r="N658" s="22"/>
      <c r="O658" s="22"/>
      <c r="P658" s="22"/>
      <c r="Q658" s="23"/>
    </row>
    <row r="659" spans="12:17" ht="15.75" thickBot="1" x14ac:dyDescent="0.3">
      <c r="L659" s="22"/>
      <c r="M659" s="22"/>
      <c r="N659" s="22"/>
      <c r="O659" s="22"/>
      <c r="P659" s="22"/>
      <c r="Q659" s="23"/>
    </row>
    <row r="660" spans="12:17" ht="15.75" thickBot="1" x14ac:dyDescent="0.3">
      <c r="L660" s="22"/>
      <c r="M660" s="22"/>
      <c r="N660" s="22"/>
      <c r="O660" s="22"/>
      <c r="P660" s="22"/>
      <c r="Q660" s="23"/>
    </row>
    <row r="661" spans="12:17" ht="15.75" thickBot="1" x14ac:dyDescent="0.3">
      <c r="L661" s="22"/>
      <c r="M661" s="22"/>
      <c r="N661" s="22"/>
      <c r="O661" s="22"/>
      <c r="P661" s="22"/>
      <c r="Q661" s="23"/>
    </row>
    <row r="662" spans="12:17" ht="15.75" thickBot="1" x14ac:dyDescent="0.3">
      <c r="L662" s="22"/>
      <c r="M662" s="22"/>
      <c r="N662" s="22"/>
      <c r="O662" s="22"/>
      <c r="P662" s="22"/>
      <c r="Q662" s="23"/>
    </row>
    <row r="663" spans="12:17" ht="15.75" thickBot="1" x14ac:dyDescent="0.3">
      <c r="L663" s="22"/>
      <c r="M663" s="22"/>
      <c r="N663" s="22"/>
      <c r="O663" s="22"/>
      <c r="P663" s="22"/>
      <c r="Q663" s="23"/>
    </row>
    <row r="664" spans="12:17" ht="15.75" thickBot="1" x14ac:dyDescent="0.3">
      <c r="L664" s="22"/>
      <c r="M664" s="22"/>
      <c r="N664" s="22"/>
      <c r="O664" s="22"/>
      <c r="P664" s="22"/>
      <c r="Q664" s="23"/>
    </row>
    <row r="665" spans="12:17" ht="15.75" thickBot="1" x14ac:dyDescent="0.3">
      <c r="L665" s="22"/>
      <c r="M665" s="22"/>
      <c r="N665" s="22"/>
      <c r="O665" s="22"/>
      <c r="P665" s="22"/>
      <c r="Q665" s="23"/>
    </row>
    <row r="666" spans="12:17" ht="15.75" thickBot="1" x14ac:dyDescent="0.3">
      <c r="L666" s="22"/>
      <c r="M666" s="22"/>
      <c r="N666" s="22"/>
      <c r="O666" s="22"/>
      <c r="P666" s="22"/>
      <c r="Q666" s="23"/>
    </row>
    <row r="667" spans="12:17" ht="15.75" thickBot="1" x14ac:dyDescent="0.3">
      <c r="L667" s="22"/>
      <c r="M667" s="22"/>
      <c r="N667" s="22"/>
      <c r="O667" s="22"/>
      <c r="P667" s="22"/>
      <c r="Q667" s="23"/>
    </row>
    <row r="668" spans="12:17" ht="15.75" thickBot="1" x14ac:dyDescent="0.3">
      <c r="L668" s="22"/>
      <c r="M668" s="22"/>
      <c r="N668" s="22"/>
      <c r="O668" s="22"/>
      <c r="P668" s="22"/>
      <c r="Q668" s="23"/>
    </row>
    <row r="669" spans="12:17" ht="15.75" thickBot="1" x14ac:dyDescent="0.3">
      <c r="L669" s="22"/>
      <c r="M669" s="22"/>
      <c r="N669" s="22"/>
      <c r="O669" s="22"/>
      <c r="P669" s="22"/>
      <c r="Q669" s="23"/>
    </row>
    <row r="670" spans="12:17" ht="15.75" thickBot="1" x14ac:dyDescent="0.3">
      <c r="L670" s="22"/>
      <c r="M670" s="22"/>
      <c r="N670" s="22"/>
      <c r="O670" s="22"/>
      <c r="P670" s="22"/>
      <c r="Q670" s="23"/>
    </row>
    <row r="671" spans="12:17" ht="15.75" thickBot="1" x14ac:dyDescent="0.3">
      <c r="L671" s="22"/>
      <c r="M671" s="22"/>
      <c r="N671" s="22"/>
      <c r="O671" s="22"/>
      <c r="P671" s="22"/>
      <c r="Q671" s="23"/>
    </row>
    <row r="672" spans="12:17" ht="15.75" thickBot="1" x14ac:dyDescent="0.3">
      <c r="L672" s="22"/>
      <c r="M672" s="22"/>
      <c r="N672" s="22"/>
      <c r="O672" s="22"/>
      <c r="P672" s="22"/>
      <c r="Q672" s="23"/>
    </row>
    <row r="673" spans="12:17" ht="15.75" thickBot="1" x14ac:dyDescent="0.3">
      <c r="L673" s="22"/>
      <c r="M673" s="22"/>
      <c r="N673" s="22"/>
      <c r="O673" s="22"/>
      <c r="P673" s="22"/>
      <c r="Q673" s="23"/>
    </row>
    <row r="674" spans="12:17" ht="15.75" thickBot="1" x14ac:dyDescent="0.3">
      <c r="L674" s="22"/>
      <c r="M674" s="22"/>
      <c r="N674" s="22"/>
      <c r="O674" s="22"/>
      <c r="P674" s="22"/>
      <c r="Q674" s="23"/>
    </row>
    <row r="675" spans="12:17" ht="15.75" thickBot="1" x14ac:dyDescent="0.3">
      <c r="L675" s="22"/>
      <c r="M675" s="22"/>
      <c r="N675" s="22"/>
      <c r="O675" s="22"/>
      <c r="P675" s="22"/>
      <c r="Q675" s="23"/>
    </row>
    <row r="676" spans="12:17" ht="15.75" thickBot="1" x14ac:dyDescent="0.3">
      <c r="L676" s="22"/>
      <c r="M676" s="22"/>
      <c r="N676" s="22"/>
      <c r="O676" s="22"/>
      <c r="P676" s="22"/>
      <c r="Q676" s="23"/>
    </row>
    <row r="677" spans="12:17" ht="15.75" thickBot="1" x14ac:dyDescent="0.3">
      <c r="L677" s="22"/>
      <c r="M677" s="22"/>
      <c r="N677" s="22"/>
      <c r="O677" s="22"/>
      <c r="P677" s="22"/>
      <c r="Q677" s="23"/>
    </row>
    <row r="678" spans="12:17" ht="15.75" thickBot="1" x14ac:dyDescent="0.3">
      <c r="L678" s="22"/>
      <c r="M678" s="22"/>
      <c r="N678" s="22"/>
      <c r="O678" s="22"/>
      <c r="P678" s="22"/>
      <c r="Q678" s="23"/>
    </row>
    <row r="679" spans="12:17" ht="15.75" thickBot="1" x14ac:dyDescent="0.3">
      <c r="L679" s="22"/>
      <c r="M679" s="22"/>
      <c r="N679" s="22"/>
      <c r="O679" s="22"/>
      <c r="P679" s="22"/>
      <c r="Q679" s="23"/>
    </row>
    <row r="680" spans="12:17" ht="15.75" thickBot="1" x14ac:dyDescent="0.3">
      <c r="L680" s="22"/>
      <c r="M680" s="22"/>
      <c r="N680" s="22"/>
      <c r="O680" s="22"/>
      <c r="P680" s="22"/>
      <c r="Q680" s="23"/>
    </row>
    <row r="681" spans="12:17" ht="15.75" thickBot="1" x14ac:dyDescent="0.3">
      <c r="L681" s="22"/>
      <c r="M681" s="22"/>
      <c r="N681" s="22"/>
      <c r="O681" s="22"/>
      <c r="P681" s="22"/>
      <c r="Q681" s="23"/>
    </row>
    <row r="682" spans="12:17" ht="15.75" thickBot="1" x14ac:dyDescent="0.3">
      <c r="L682" s="22"/>
      <c r="M682" s="22"/>
      <c r="N682" s="22"/>
      <c r="O682" s="22"/>
      <c r="P682" s="22"/>
      <c r="Q682" s="23"/>
    </row>
    <row r="683" spans="12:17" ht="15.75" thickBot="1" x14ac:dyDescent="0.3">
      <c r="L683" s="22"/>
      <c r="M683" s="22"/>
      <c r="N683" s="22"/>
      <c r="O683" s="22"/>
      <c r="P683" s="22"/>
      <c r="Q683" s="23"/>
    </row>
    <row r="684" spans="12:17" ht="15.75" thickBot="1" x14ac:dyDescent="0.3">
      <c r="L684" s="22"/>
      <c r="M684" s="22"/>
      <c r="N684" s="22"/>
      <c r="O684" s="22"/>
      <c r="P684" s="22"/>
      <c r="Q684" s="23"/>
    </row>
    <row r="685" spans="12:17" ht="15.75" thickBot="1" x14ac:dyDescent="0.3">
      <c r="L685" s="22"/>
      <c r="M685" s="22"/>
      <c r="N685" s="22"/>
      <c r="O685" s="22"/>
      <c r="P685" s="22"/>
      <c r="Q685" s="23"/>
    </row>
    <row r="686" spans="12:17" ht="15.75" thickBot="1" x14ac:dyDescent="0.3">
      <c r="L686" s="22"/>
      <c r="M686" s="22"/>
      <c r="N686" s="22"/>
      <c r="O686" s="22"/>
      <c r="P686" s="22"/>
      <c r="Q686" s="23"/>
    </row>
    <row r="687" spans="12:17" ht="15.75" thickBot="1" x14ac:dyDescent="0.3">
      <c r="L687" s="22"/>
      <c r="M687" s="22"/>
      <c r="N687" s="22"/>
      <c r="O687" s="22"/>
      <c r="P687" s="22"/>
      <c r="Q687" s="23"/>
    </row>
    <row r="688" spans="12:17" ht="15.75" thickBot="1" x14ac:dyDescent="0.3">
      <c r="L688" s="22"/>
      <c r="M688" s="22"/>
      <c r="N688" s="22"/>
      <c r="O688" s="22"/>
      <c r="P688" s="22"/>
      <c r="Q688" s="23"/>
    </row>
    <row r="689" spans="12:17" ht="15.75" thickBot="1" x14ac:dyDescent="0.3">
      <c r="L689" s="22"/>
      <c r="M689" s="22"/>
      <c r="N689" s="22"/>
      <c r="O689" s="22"/>
      <c r="P689" s="22"/>
      <c r="Q689" s="23"/>
    </row>
    <row r="690" spans="12:17" ht="15.75" thickBot="1" x14ac:dyDescent="0.3">
      <c r="L690" s="22"/>
      <c r="M690" s="22"/>
      <c r="N690" s="22"/>
      <c r="O690" s="22"/>
      <c r="P690" s="22"/>
      <c r="Q690" s="23"/>
    </row>
    <row r="691" spans="12:17" ht="15.75" thickBot="1" x14ac:dyDescent="0.3">
      <c r="L691" s="22"/>
      <c r="M691" s="22"/>
      <c r="N691" s="22"/>
      <c r="O691" s="22"/>
      <c r="P691" s="22"/>
      <c r="Q691" s="23"/>
    </row>
    <row r="692" spans="12:17" ht="15.75" thickBot="1" x14ac:dyDescent="0.3">
      <c r="L692" s="22"/>
      <c r="M692" s="22"/>
      <c r="N692" s="22"/>
      <c r="O692" s="22"/>
      <c r="P692" s="22"/>
      <c r="Q692" s="23"/>
    </row>
    <row r="693" spans="12:17" ht="15.75" thickBot="1" x14ac:dyDescent="0.3">
      <c r="L693" s="22"/>
      <c r="M693" s="22"/>
      <c r="N693" s="22"/>
      <c r="O693" s="22"/>
      <c r="P693" s="22"/>
      <c r="Q693" s="23"/>
    </row>
    <row r="694" spans="12:17" ht="15.75" thickBot="1" x14ac:dyDescent="0.3">
      <c r="L694" s="22"/>
      <c r="M694" s="22"/>
      <c r="N694" s="22"/>
      <c r="O694" s="22"/>
      <c r="P694" s="22"/>
      <c r="Q694" s="23"/>
    </row>
    <row r="695" spans="12:17" ht="15.75" thickBot="1" x14ac:dyDescent="0.3">
      <c r="L695" s="22"/>
      <c r="M695" s="22"/>
      <c r="N695" s="22"/>
      <c r="O695" s="22"/>
      <c r="P695" s="22"/>
      <c r="Q695" s="23"/>
    </row>
    <row r="696" spans="12:17" ht="15.75" thickBot="1" x14ac:dyDescent="0.3">
      <c r="L696" s="22"/>
      <c r="M696" s="22"/>
      <c r="N696" s="22"/>
      <c r="O696" s="22"/>
      <c r="P696" s="22"/>
      <c r="Q696" s="23"/>
    </row>
    <row r="697" spans="12:17" ht="15.75" thickBot="1" x14ac:dyDescent="0.3">
      <c r="L697" s="22"/>
      <c r="M697" s="22"/>
      <c r="N697" s="22"/>
      <c r="O697" s="22"/>
      <c r="P697" s="22"/>
      <c r="Q697" s="23"/>
    </row>
    <row r="698" spans="12:17" ht="15.75" thickBot="1" x14ac:dyDescent="0.3">
      <c r="L698" s="22"/>
      <c r="M698" s="22"/>
      <c r="N698" s="22"/>
      <c r="O698" s="22"/>
      <c r="P698" s="22"/>
      <c r="Q698" s="23"/>
    </row>
    <row r="699" spans="12:17" ht="15.75" thickBot="1" x14ac:dyDescent="0.3">
      <c r="L699" s="22"/>
      <c r="M699" s="22"/>
      <c r="N699" s="22"/>
      <c r="O699" s="22"/>
      <c r="P699" s="22"/>
      <c r="Q699" s="23"/>
    </row>
    <row r="700" spans="12:17" ht="15.75" thickBot="1" x14ac:dyDescent="0.3">
      <c r="L700" s="22"/>
      <c r="M700" s="22"/>
      <c r="N700" s="22"/>
      <c r="O700" s="22"/>
      <c r="P700" s="22"/>
      <c r="Q700" s="23"/>
    </row>
    <row r="701" spans="12:17" ht="15.75" thickBot="1" x14ac:dyDescent="0.3">
      <c r="L701" s="22"/>
      <c r="M701" s="22"/>
      <c r="N701" s="22"/>
      <c r="O701" s="22"/>
      <c r="P701" s="22"/>
      <c r="Q701" s="23"/>
    </row>
    <row r="702" spans="12:17" ht="15.75" thickBot="1" x14ac:dyDescent="0.3">
      <c r="L702" s="22"/>
      <c r="M702" s="22"/>
      <c r="N702" s="22"/>
      <c r="O702" s="22"/>
      <c r="P702" s="22"/>
      <c r="Q702" s="23"/>
    </row>
    <row r="703" spans="12:17" ht="15.75" thickBot="1" x14ac:dyDescent="0.3">
      <c r="L703" s="22"/>
      <c r="M703" s="22"/>
      <c r="N703" s="22"/>
      <c r="O703" s="22"/>
      <c r="P703" s="22"/>
      <c r="Q703" s="23"/>
    </row>
    <row r="704" spans="12:17" ht="15.75" thickBot="1" x14ac:dyDescent="0.3">
      <c r="L704" s="22"/>
      <c r="M704" s="22"/>
      <c r="N704" s="22"/>
      <c r="O704" s="22"/>
      <c r="P704" s="22"/>
      <c r="Q704" s="23"/>
    </row>
    <row r="705" spans="12:17" ht="15.75" thickBot="1" x14ac:dyDescent="0.3">
      <c r="L705" s="22"/>
      <c r="M705" s="22"/>
      <c r="N705" s="22"/>
      <c r="O705" s="22"/>
      <c r="P705" s="22"/>
      <c r="Q705" s="23"/>
    </row>
    <row r="706" spans="12:17" ht="15.75" thickBot="1" x14ac:dyDescent="0.3">
      <c r="L706" s="22"/>
      <c r="M706" s="22"/>
      <c r="N706" s="22"/>
      <c r="O706" s="22"/>
      <c r="P706" s="22"/>
      <c r="Q706" s="23"/>
    </row>
    <row r="707" spans="12:17" ht="15.75" thickBot="1" x14ac:dyDescent="0.3">
      <c r="L707" s="22"/>
      <c r="M707" s="22"/>
      <c r="N707" s="22"/>
      <c r="O707" s="22"/>
      <c r="P707" s="22"/>
      <c r="Q707" s="23"/>
    </row>
    <row r="708" spans="12:17" ht="15.75" thickBot="1" x14ac:dyDescent="0.3">
      <c r="L708" s="22"/>
      <c r="M708" s="22"/>
      <c r="N708" s="22"/>
      <c r="O708" s="22"/>
      <c r="P708" s="22"/>
      <c r="Q708" s="23"/>
    </row>
    <row r="709" spans="12:17" ht="15.75" thickBot="1" x14ac:dyDescent="0.3">
      <c r="L709" s="22"/>
      <c r="M709" s="22"/>
      <c r="N709" s="22"/>
      <c r="O709" s="22"/>
      <c r="P709" s="22"/>
      <c r="Q709" s="23"/>
    </row>
    <row r="710" spans="12:17" ht="15.75" thickBot="1" x14ac:dyDescent="0.3">
      <c r="L710" s="22"/>
      <c r="M710" s="22"/>
      <c r="N710" s="22"/>
      <c r="O710" s="22"/>
      <c r="P710" s="22"/>
      <c r="Q710" s="23"/>
    </row>
    <row r="711" spans="12:17" ht="15.75" thickBot="1" x14ac:dyDescent="0.3">
      <c r="L711" s="22"/>
      <c r="M711" s="22"/>
      <c r="N711" s="22"/>
      <c r="O711" s="22"/>
      <c r="P711" s="22"/>
      <c r="Q711" s="23"/>
    </row>
    <row r="712" spans="12:17" ht="15.75" thickBot="1" x14ac:dyDescent="0.3">
      <c r="L712" s="22"/>
      <c r="M712" s="22"/>
      <c r="N712" s="22"/>
      <c r="O712" s="22"/>
      <c r="P712" s="22"/>
      <c r="Q712" s="23"/>
    </row>
    <row r="713" spans="12:17" ht="15.75" thickBot="1" x14ac:dyDescent="0.3">
      <c r="L713" s="22"/>
      <c r="M713" s="22"/>
      <c r="N713" s="22"/>
      <c r="O713" s="22"/>
      <c r="P713" s="22"/>
      <c r="Q713" s="23"/>
    </row>
    <row r="714" spans="12:17" ht="15.75" thickBot="1" x14ac:dyDescent="0.3">
      <c r="L714" s="22"/>
      <c r="M714" s="22"/>
      <c r="N714" s="22"/>
      <c r="O714" s="22"/>
      <c r="P714" s="22"/>
      <c r="Q714" s="23"/>
    </row>
    <row r="715" spans="12:17" ht="15.75" thickBot="1" x14ac:dyDescent="0.3">
      <c r="L715" s="22"/>
      <c r="M715" s="22"/>
      <c r="N715" s="22"/>
      <c r="O715" s="22"/>
      <c r="P715" s="22"/>
      <c r="Q715" s="23"/>
    </row>
    <row r="716" spans="12:17" ht="15.75" thickBot="1" x14ac:dyDescent="0.3">
      <c r="L716" s="22"/>
      <c r="M716" s="22"/>
      <c r="N716" s="22"/>
      <c r="O716" s="22"/>
      <c r="P716" s="22"/>
      <c r="Q716" s="23"/>
    </row>
    <row r="717" spans="12:17" ht="15.75" thickBot="1" x14ac:dyDescent="0.3">
      <c r="L717" s="22"/>
      <c r="M717" s="22"/>
      <c r="N717" s="22"/>
      <c r="O717" s="22"/>
      <c r="P717" s="22"/>
      <c r="Q717" s="23"/>
    </row>
    <row r="718" spans="12:17" ht="15.75" thickBot="1" x14ac:dyDescent="0.3">
      <c r="L718" s="22"/>
      <c r="M718" s="22"/>
      <c r="N718" s="22"/>
      <c r="O718" s="22"/>
      <c r="P718" s="22"/>
      <c r="Q718" s="23"/>
    </row>
    <row r="719" spans="12:17" ht="15.75" thickBot="1" x14ac:dyDescent="0.3">
      <c r="L719" s="22"/>
      <c r="M719" s="22"/>
      <c r="N719" s="22"/>
      <c r="O719" s="22"/>
      <c r="P719" s="22"/>
      <c r="Q719" s="23"/>
    </row>
    <row r="720" spans="12:17" ht="15.75" thickBot="1" x14ac:dyDescent="0.3">
      <c r="L720" s="22"/>
      <c r="M720" s="22"/>
      <c r="N720" s="22"/>
      <c r="O720" s="22"/>
      <c r="P720" s="22"/>
      <c r="Q720" s="23"/>
    </row>
    <row r="721" spans="12:17" ht="15.75" thickBot="1" x14ac:dyDescent="0.3">
      <c r="L721" s="22"/>
      <c r="M721" s="22"/>
      <c r="N721" s="22"/>
      <c r="O721" s="22"/>
      <c r="P721" s="22"/>
      <c r="Q721" s="23"/>
    </row>
    <row r="722" spans="12:17" ht="15.75" thickBot="1" x14ac:dyDescent="0.3">
      <c r="L722" s="22"/>
      <c r="M722" s="22"/>
      <c r="N722" s="22"/>
      <c r="O722" s="22"/>
      <c r="P722" s="22"/>
      <c r="Q722" s="23"/>
    </row>
    <row r="723" spans="12:17" ht="15.75" thickBot="1" x14ac:dyDescent="0.3">
      <c r="L723" s="22"/>
      <c r="M723" s="22"/>
      <c r="N723" s="22"/>
      <c r="O723" s="22"/>
      <c r="P723" s="22"/>
      <c r="Q723" s="23"/>
    </row>
    <row r="724" spans="12:17" ht="15.75" thickBot="1" x14ac:dyDescent="0.3">
      <c r="L724" s="22"/>
      <c r="M724" s="22"/>
      <c r="N724" s="22"/>
      <c r="O724" s="22"/>
      <c r="P724" s="22"/>
      <c r="Q724" s="23"/>
    </row>
    <row r="725" spans="12:17" ht="15.75" thickBot="1" x14ac:dyDescent="0.3">
      <c r="L725" s="22"/>
      <c r="M725" s="22"/>
      <c r="N725" s="22"/>
      <c r="O725" s="22"/>
      <c r="P725" s="22"/>
      <c r="Q725" s="23"/>
    </row>
    <row r="726" spans="12:17" ht="15.75" thickBot="1" x14ac:dyDescent="0.3">
      <c r="L726" s="22"/>
      <c r="M726" s="22"/>
      <c r="N726" s="22"/>
      <c r="O726" s="22"/>
      <c r="P726" s="22"/>
      <c r="Q726" s="23"/>
    </row>
    <row r="727" spans="12:17" ht="15.75" thickBot="1" x14ac:dyDescent="0.3">
      <c r="L727" s="22"/>
      <c r="M727" s="22"/>
      <c r="N727" s="22"/>
      <c r="O727" s="22"/>
      <c r="P727" s="22"/>
      <c r="Q727" s="23"/>
    </row>
    <row r="728" spans="12:17" ht="15.75" thickBot="1" x14ac:dyDescent="0.3">
      <c r="L728" s="22"/>
      <c r="M728" s="22"/>
      <c r="N728" s="22"/>
      <c r="O728" s="22"/>
      <c r="P728" s="22"/>
      <c r="Q728" s="23"/>
    </row>
    <row r="729" spans="12:17" ht="15.75" thickBot="1" x14ac:dyDescent="0.3">
      <c r="L729" s="22"/>
      <c r="M729" s="22"/>
      <c r="N729" s="22"/>
      <c r="O729" s="22"/>
      <c r="P729" s="22"/>
      <c r="Q729" s="23"/>
    </row>
    <row r="730" spans="12:17" ht="15.75" thickBot="1" x14ac:dyDescent="0.3">
      <c r="L730" s="22"/>
      <c r="M730" s="22"/>
      <c r="N730" s="22"/>
      <c r="O730" s="22"/>
      <c r="P730" s="22"/>
      <c r="Q730" s="23"/>
    </row>
    <row r="731" spans="12:17" ht="15.75" thickBot="1" x14ac:dyDescent="0.3">
      <c r="L731" s="22"/>
      <c r="M731" s="22"/>
      <c r="N731" s="22"/>
      <c r="O731" s="22"/>
      <c r="P731" s="22"/>
      <c r="Q731" s="23"/>
    </row>
    <row r="732" spans="12:17" ht="15.75" thickBot="1" x14ac:dyDescent="0.3">
      <c r="L732" s="22"/>
      <c r="M732" s="22"/>
      <c r="N732" s="22"/>
      <c r="O732" s="22"/>
      <c r="P732" s="22"/>
      <c r="Q732" s="23"/>
    </row>
    <row r="733" spans="12:17" ht="15.75" thickBot="1" x14ac:dyDescent="0.3">
      <c r="L733" s="22"/>
      <c r="M733" s="22"/>
      <c r="N733" s="22"/>
      <c r="O733" s="22"/>
      <c r="P733" s="22"/>
      <c r="Q733" s="23"/>
    </row>
    <row r="734" spans="12:17" ht="15.75" thickBot="1" x14ac:dyDescent="0.3">
      <c r="L734" s="22"/>
      <c r="M734" s="22"/>
      <c r="N734" s="22"/>
      <c r="O734" s="22"/>
      <c r="P734" s="22"/>
      <c r="Q734" s="23"/>
    </row>
    <row r="735" spans="12:17" ht="15.75" thickBot="1" x14ac:dyDescent="0.3">
      <c r="L735" s="22"/>
      <c r="M735" s="22"/>
      <c r="N735" s="22"/>
      <c r="O735" s="22"/>
      <c r="P735" s="22"/>
      <c r="Q735" s="23"/>
    </row>
    <row r="736" spans="12:17" ht="15.75" thickBot="1" x14ac:dyDescent="0.3">
      <c r="L736" s="22"/>
      <c r="M736" s="22"/>
      <c r="N736" s="22"/>
      <c r="O736" s="22"/>
      <c r="P736" s="22"/>
      <c r="Q736" s="23"/>
    </row>
    <row r="737" spans="12:17" ht="15.75" thickBot="1" x14ac:dyDescent="0.3">
      <c r="L737" s="22"/>
      <c r="M737" s="22"/>
      <c r="N737" s="22"/>
      <c r="O737" s="22"/>
      <c r="P737" s="22"/>
      <c r="Q737" s="23"/>
    </row>
    <row r="738" spans="12:17" ht="15.75" thickBot="1" x14ac:dyDescent="0.3">
      <c r="L738" s="22"/>
      <c r="M738" s="22"/>
      <c r="N738" s="22"/>
      <c r="O738" s="22"/>
      <c r="P738" s="22"/>
      <c r="Q738" s="23"/>
    </row>
    <row r="739" spans="12:17" ht="15.75" thickBot="1" x14ac:dyDescent="0.3">
      <c r="L739" s="22"/>
      <c r="M739" s="22"/>
      <c r="N739" s="22"/>
      <c r="O739" s="22"/>
      <c r="P739" s="22"/>
      <c r="Q739" s="23"/>
    </row>
    <row r="740" spans="12:17" ht="15.75" thickBot="1" x14ac:dyDescent="0.3">
      <c r="L740" s="22"/>
      <c r="M740" s="22"/>
      <c r="N740" s="22"/>
      <c r="O740" s="22"/>
      <c r="P740" s="22"/>
      <c r="Q740" s="23"/>
    </row>
    <row r="741" spans="12:17" ht="15.75" thickBot="1" x14ac:dyDescent="0.3">
      <c r="L741" s="22"/>
      <c r="M741" s="22"/>
      <c r="N741" s="22"/>
      <c r="O741" s="22"/>
      <c r="P741" s="22"/>
      <c r="Q741" s="23"/>
    </row>
    <row r="742" spans="12:17" ht="15.75" thickBot="1" x14ac:dyDescent="0.3">
      <c r="L742" s="22"/>
      <c r="M742" s="22"/>
      <c r="N742" s="22"/>
      <c r="O742" s="22"/>
      <c r="P742" s="22"/>
      <c r="Q742" s="23"/>
    </row>
    <row r="743" spans="12:17" ht="15.75" thickBot="1" x14ac:dyDescent="0.3">
      <c r="L743" s="22"/>
      <c r="M743" s="22"/>
      <c r="N743" s="22"/>
      <c r="O743" s="22"/>
      <c r="P743" s="22"/>
      <c r="Q743" s="23"/>
    </row>
    <row r="744" spans="12:17" ht="15.75" thickBot="1" x14ac:dyDescent="0.3">
      <c r="L744" s="22"/>
      <c r="M744" s="22"/>
      <c r="N744" s="22"/>
      <c r="O744" s="22"/>
      <c r="P744" s="22"/>
      <c r="Q744" s="23"/>
    </row>
    <row r="745" spans="12:17" ht="15.75" thickBot="1" x14ac:dyDescent="0.3">
      <c r="L745" s="22"/>
      <c r="M745" s="22"/>
      <c r="N745" s="22"/>
      <c r="O745" s="22"/>
      <c r="P745" s="22"/>
      <c r="Q745" s="23"/>
    </row>
    <row r="746" spans="12:17" ht="15.75" thickBot="1" x14ac:dyDescent="0.3">
      <c r="L746" s="22"/>
      <c r="M746" s="22"/>
      <c r="N746" s="22"/>
      <c r="O746" s="22"/>
      <c r="P746" s="22"/>
      <c r="Q746" s="23"/>
    </row>
    <row r="747" spans="12:17" ht="15.75" thickBot="1" x14ac:dyDescent="0.3">
      <c r="L747" s="22"/>
      <c r="M747" s="22"/>
      <c r="N747" s="22"/>
      <c r="O747" s="22"/>
      <c r="P747" s="22"/>
      <c r="Q747" s="23"/>
    </row>
    <row r="748" spans="12:17" ht="15.75" thickBot="1" x14ac:dyDescent="0.3">
      <c r="L748" s="22"/>
      <c r="M748" s="22"/>
      <c r="N748" s="22"/>
      <c r="O748" s="22"/>
      <c r="P748" s="22"/>
      <c r="Q748" s="23"/>
    </row>
    <row r="749" spans="12:17" ht="15.75" thickBot="1" x14ac:dyDescent="0.3">
      <c r="L749" s="22"/>
      <c r="M749" s="22"/>
      <c r="N749" s="22"/>
      <c r="O749" s="22"/>
      <c r="P749" s="22"/>
      <c r="Q749" s="23"/>
    </row>
    <row r="750" spans="12:17" ht="15.75" thickBot="1" x14ac:dyDescent="0.3">
      <c r="L750" s="22"/>
      <c r="M750" s="22"/>
      <c r="N750" s="22"/>
      <c r="O750" s="22"/>
      <c r="P750" s="22"/>
      <c r="Q750" s="23"/>
    </row>
    <row r="751" spans="12:17" ht="15.75" thickBot="1" x14ac:dyDescent="0.3">
      <c r="L751" s="22"/>
      <c r="M751" s="22"/>
      <c r="N751" s="22"/>
      <c r="O751" s="22"/>
      <c r="P751" s="22"/>
      <c r="Q751" s="23"/>
    </row>
    <row r="752" spans="12:17" ht="15.75" thickBot="1" x14ac:dyDescent="0.3">
      <c r="L752" s="22"/>
      <c r="M752" s="22"/>
      <c r="N752" s="22"/>
      <c r="O752" s="22"/>
      <c r="P752" s="22"/>
      <c r="Q752" s="23"/>
    </row>
    <row r="753" spans="12:17" ht="15.75" thickBot="1" x14ac:dyDescent="0.3">
      <c r="L753" s="22"/>
      <c r="M753" s="22"/>
      <c r="N753" s="22"/>
      <c r="O753" s="22"/>
      <c r="P753" s="22"/>
      <c r="Q753" s="23"/>
    </row>
    <row r="754" spans="12:17" ht="15.75" thickBot="1" x14ac:dyDescent="0.3">
      <c r="L754" s="22"/>
      <c r="M754" s="22"/>
      <c r="N754" s="22"/>
      <c r="O754" s="22"/>
      <c r="P754" s="22"/>
      <c r="Q754" s="23"/>
    </row>
    <row r="755" spans="12:17" ht="15.75" thickBot="1" x14ac:dyDescent="0.3">
      <c r="L755" s="22"/>
      <c r="M755" s="22"/>
      <c r="N755" s="22"/>
      <c r="O755" s="22"/>
      <c r="P755" s="22"/>
      <c r="Q755" s="23"/>
    </row>
    <row r="756" spans="12:17" ht="15.75" thickBot="1" x14ac:dyDescent="0.3">
      <c r="L756" s="22"/>
      <c r="M756" s="22"/>
      <c r="N756" s="22"/>
      <c r="O756" s="22"/>
      <c r="P756" s="22"/>
      <c r="Q756" s="23"/>
    </row>
    <row r="757" spans="12:17" ht="15.75" thickBot="1" x14ac:dyDescent="0.3">
      <c r="L757" s="22"/>
      <c r="M757" s="22"/>
      <c r="N757" s="22"/>
      <c r="O757" s="22"/>
      <c r="P757" s="22"/>
      <c r="Q757" s="23"/>
    </row>
    <row r="758" spans="12:17" ht="15.75" thickBot="1" x14ac:dyDescent="0.3">
      <c r="L758" s="22"/>
      <c r="M758" s="22"/>
      <c r="N758" s="22"/>
      <c r="O758" s="22"/>
      <c r="P758" s="22"/>
      <c r="Q758" s="23"/>
    </row>
    <row r="759" spans="12:17" ht="15.75" thickBot="1" x14ac:dyDescent="0.3">
      <c r="L759" s="22"/>
      <c r="M759" s="22"/>
      <c r="N759" s="22"/>
      <c r="O759" s="22"/>
      <c r="P759" s="22"/>
      <c r="Q759" s="23"/>
    </row>
    <row r="760" spans="12:17" ht="15.75" thickBot="1" x14ac:dyDescent="0.3">
      <c r="L760" s="22"/>
      <c r="M760" s="22"/>
      <c r="N760" s="22"/>
      <c r="O760" s="22"/>
      <c r="P760" s="22"/>
      <c r="Q760" s="23"/>
    </row>
    <row r="761" spans="12:17" ht="15.75" thickBot="1" x14ac:dyDescent="0.3">
      <c r="L761" s="22"/>
      <c r="M761" s="22"/>
      <c r="N761" s="22"/>
      <c r="O761" s="22"/>
      <c r="P761" s="22"/>
      <c r="Q761" s="23"/>
    </row>
    <row r="762" spans="12:17" ht="15.75" thickBot="1" x14ac:dyDescent="0.3">
      <c r="L762" s="22"/>
      <c r="M762" s="22"/>
      <c r="N762" s="22"/>
      <c r="O762" s="22"/>
      <c r="P762" s="22"/>
      <c r="Q762" s="23"/>
    </row>
    <row r="763" spans="12:17" ht="15.75" thickBot="1" x14ac:dyDescent="0.3">
      <c r="L763" s="22"/>
      <c r="M763" s="22"/>
      <c r="N763" s="22"/>
      <c r="O763" s="22"/>
      <c r="P763" s="22"/>
      <c r="Q763" s="23"/>
    </row>
    <row r="764" spans="12:17" ht="15.75" thickBot="1" x14ac:dyDescent="0.3">
      <c r="L764" s="22"/>
      <c r="M764" s="22"/>
      <c r="N764" s="22"/>
      <c r="O764" s="22"/>
      <c r="P764" s="22"/>
      <c r="Q764" s="23"/>
    </row>
    <row r="765" spans="12:17" ht="15.75" thickBot="1" x14ac:dyDescent="0.3">
      <c r="L765" s="22"/>
      <c r="M765" s="22"/>
      <c r="N765" s="22"/>
      <c r="O765" s="22"/>
      <c r="P765" s="22"/>
      <c r="Q765" s="23"/>
    </row>
    <row r="766" spans="12:17" ht="15.75" thickBot="1" x14ac:dyDescent="0.3">
      <c r="L766" s="22"/>
      <c r="M766" s="22"/>
      <c r="N766" s="22"/>
      <c r="O766" s="22"/>
      <c r="P766" s="22"/>
      <c r="Q766" s="23"/>
    </row>
    <row r="767" spans="12:17" ht="15.75" thickBot="1" x14ac:dyDescent="0.3">
      <c r="L767" s="22"/>
      <c r="M767" s="22"/>
      <c r="N767" s="22"/>
      <c r="O767" s="22"/>
      <c r="P767" s="22"/>
      <c r="Q767" s="23"/>
    </row>
    <row r="768" spans="12:17" ht="15.75" thickBot="1" x14ac:dyDescent="0.3">
      <c r="L768" s="22"/>
      <c r="M768" s="22"/>
      <c r="N768" s="22"/>
      <c r="O768" s="22"/>
      <c r="P768" s="22"/>
      <c r="Q768" s="23"/>
    </row>
    <row r="769" spans="12:17" ht="15.75" thickBot="1" x14ac:dyDescent="0.3">
      <c r="L769" s="22"/>
      <c r="M769" s="22"/>
      <c r="N769" s="22"/>
      <c r="O769" s="22"/>
      <c r="P769" s="22"/>
      <c r="Q769" s="23"/>
    </row>
    <row r="770" spans="12:17" ht="15.75" thickBot="1" x14ac:dyDescent="0.3">
      <c r="L770" s="22"/>
      <c r="M770" s="22"/>
      <c r="N770" s="22"/>
      <c r="O770" s="22"/>
      <c r="P770" s="22"/>
      <c r="Q770" s="23"/>
    </row>
    <row r="771" spans="12:17" ht="15.75" thickBot="1" x14ac:dyDescent="0.3">
      <c r="L771" s="22"/>
      <c r="M771" s="22"/>
      <c r="N771" s="22"/>
      <c r="O771" s="22"/>
      <c r="P771" s="22"/>
      <c r="Q771" s="23"/>
    </row>
    <row r="772" spans="12:17" ht="15.75" thickBot="1" x14ac:dyDescent="0.3">
      <c r="L772" s="22"/>
      <c r="M772" s="22"/>
      <c r="N772" s="22"/>
      <c r="O772" s="22"/>
      <c r="P772" s="22"/>
      <c r="Q772" s="23"/>
    </row>
    <row r="773" spans="12:17" ht="15.75" thickBot="1" x14ac:dyDescent="0.3">
      <c r="L773" s="22"/>
      <c r="M773" s="22"/>
      <c r="N773" s="22"/>
      <c r="O773" s="22"/>
      <c r="P773" s="22"/>
      <c r="Q773" s="23"/>
    </row>
    <row r="774" spans="12:17" ht="15.75" thickBot="1" x14ac:dyDescent="0.3">
      <c r="L774" s="22"/>
      <c r="M774" s="22"/>
      <c r="N774" s="22"/>
      <c r="O774" s="22"/>
      <c r="P774" s="22"/>
      <c r="Q774" s="23"/>
    </row>
    <row r="775" spans="12:17" ht="15.75" thickBot="1" x14ac:dyDescent="0.3">
      <c r="L775" s="22"/>
      <c r="M775" s="22"/>
      <c r="N775" s="22"/>
      <c r="O775" s="22"/>
      <c r="P775" s="22"/>
      <c r="Q775" s="23"/>
    </row>
    <row r="776" spans="12:17" ht="15.75" thickBot="1" x14ac:dyDescent="0.3">
      <c r="L776" s="22"/>
      <c r="M776" s="22"/>
      <c r="N776" s="22"/>
      <c r="O776" s="22"/>
      <c r="P776" s="22"/>
      <c r="Q776" s="23"/>
    </row>
    <row r="777" spans="12:17" ht="15.75" thickBot="1" x14ac:dyDescent="0.3">
      <c r="L777" s="22"/>
      <c r="M777" s="22"/>
      <c r="N777" s="22"/>
      <c r="O777" s="22"/>
      <c r="P777" s="22"/>
      <c r="Q777" s="23"/>
    </row>
    <row r="778" spans="12:17" ht="15.75" thickBot="1" x14ac:dyDescent="0.3">
      <c r="L778" s="22"/>
      <c r="M778" s="22"/>
      <c r="N778" s="22"/>
      <c r="O778" s="22"/>
      <c r="P778" s="22"/>
      <c r="Q778" s="23"/>
    </row>
    <row r="779" spans="12:17" ht="15.75" thickBot="1" x14ac:dyDescent="0.3">
      <c r="L779" s="22"/>
      <c r="M779" s="22"/>
      <c r="N779" s="22"/>
      <c r="O779" s="22"/>
      <c r="P779" s="22"/>
      <c r="Q779" s="23"/>
    </row>
    <row r="780" spans="12:17" ht="15.75" thickBot="1" x14ac:dyDescent="0.3">
      <c r="L780" s="22"/>
      <c r="M780" s="22"/>
      <c r="N780" s="22"/>
      <c r="O780" s="22"/>
      <c r="P780" s="22"/>
      <c r="Q780" s="23"/>
    </row>
    <row r="781" spans="12:17" ht="15.75" thickBot="1" x14ac:dyDescent="0.3">
      <c r="L781" s="22"/>
      <c r="M781" s="22"/>
      <c r="N781" s="22"/>
      <c r="O781" s="22"/>
      <c r="P781" s="22"/>
      <c r="Q781" s="23"/>
    </row>
    <row r="782" spans="12:17" ht="15.75" thickBot="1" x14ac:dyDescent="0.3">
      <c r="L782" s="22"/>
      <c r="M782" s="22"/>
      <c r="N782" s="22"/>
      <c r="O782" s="22"/>
      <c r="P782" s="22"/>
      <c r="Q782" s="23"/>
    </row>
    <row r="783" spans="12:17" ht="15.75" thickBot="1" x14ac:dyDescent="0.3">
      <c r="L783" s="22"/>
      <c r="M783" s="22"/>
      <c r="N783" s="22"/>
      <c r="O783" s="22"/>
      <c r="P783" s="22"/>
      <c r="Q783" s="23"/>
    </row>
    <row r="784" spans="12:17" ht="15.75" thickBot="1" x14ac:dyDescent="0.3">
      <c r="L784" s="22"/>
      <c r="M784" s="22"/>
      <c r="N784" s="22"/>
      <c r="O784" s="22"/>
      <c r="P784" s="22"/>
      <c r="Q784" s="23"/>
    </row>
    <row r="785" spans="12:17" ht="15.75" thickBot="1" x14ac:dyDescent="0.3">
      <c r="L785" s="22"/>
      <c r="M785" s="22"/>
      <c r="N785" s="22"/>
      <c r="O785" s="22"/>
      <c r="P785" s="22"/>
      <c r="Q785" s="23"/>
    </row>
    <row r="786" spans="12:17" ht="15.75" thickBot="1" x14ac:dyDescent="0.3">
      <c r="L786" s="22"/>
      <c r="M786" s="22"/>
      <c r="N786" s="22"/>
      <c r="O786" s="22"/>
      <c r="P786" s="22"/>
      <c r="Q786" s="23"/>
    </row>
    <row r="787" spans="12:17" ht="15.75" thickBot="1" x14ac:dyDescent="0.3">
      <c r="L787" s="22"/>
      <c r="M787" s="22"/>
      <c r="N787" s="22"/>
      <c r="O787" s="22"/>
      <c r="P787" s="22"/>
      <c r="Q787" s="23"/>
    </row>
    <row r="788" spans="12:17" ht="15.75" thickBot="1" x14ac:dyDescent="0.3">
      <c r="L788" s="22"/>
      <c r="M788" s="22"/>
      <c r="N788" s="22"/>
      <c r="O788" s="22"/>
      <c r="P788" s="22"/>
      <c r="Q788" s="23"/>
    </row>
    <row r="789" spans="12:17" ht="15.75" thickBot="1" x14ac:dyDescent="0.3">
      <c r="L789" s="22"/>
      <c r="M789" s="22"/>
      <c r="N789" s="22"/>
      <c r="O789" s="22"/>
      <c r="P789" s="22"/>
      <c r="Q789" s="23"/>
    </row>
    <row r="790" spans="12:17" ht="15.75" thickBot="1" x14ac:dyDescent="0.3">
      <c r="L790" s="22"/>
      <c r="M790" s="22"/>
      <c r="N790" s="22"/>
      <c r="O790" s="22"/>
      <c r="P790" s="22"/>
      <c r="Q790" s="23"/>
    </row>
    <row r="791" spans="12:17" ht="15.75" thickBot="1" x14ac:dyDescent="0.3">
      <c r="L791" s="22"/>
      <c r="M791" s="22"/>
      <c r="N791" s="22"/>
      <c r="O791" s="22"/>
      <c r="P791" s="22"/>
      <c r="Q791" s="23"/>
    </row>
    <row r="792" spans="12:17" ht="15.75" thickBot="1" x14ac:dyDescent="0.3">
      <c r="L792" s="22"/>
      <c r="M792" s="22"/>
      <c r="N792" s="22"/>
      <c r="O792" s="22"/>
      <c r="P792" s="22"/>
      <c r="Q792" s="23"/>
    </row>
    <row r="793" spans="12:17" ht="15.75" thickBot="1" x14ac:dyDescent="0.3">
      <c r="L793" s="22"/>
      <c r="M793" s="22"/>
      <c r="N793" s="22"/>
      <c r="O793" s="22"/>
      <c r="P793" s="22"/>
      <c r="Q793" s="23"/>
    </row>
    <row r="794" spans="12:17" ht="15.75" thickBot="1" x14ac:dyDescent="0.3">
      <c r="L794" s="22"/>
      <c r="M794" s="22"/>
      <c r="N794" s="22"/>
      <c r="O794" s="22"/>
      <c r="P794" s="22"/>
      <c r="Q794" s="23"/>
    </row>
    <row r="795" spans="12:17" ht="15.75" thickBot="1" x14ac:dyDescent="0.3">
      <c r="L795" s="22"/>
      <c r="M795" s="22"/>
      <c r="N795" s="22"/>
      <c r="O795" s="22"/>
      <c r="P795" s="22"/>
      <c r="Q795" s="23"/>
    </row>
    <row r="796" spans="12:17" ht="15.75" thickBot="1" x14ac:dyDescent="0.3">
      <c r="L796" s="22"/>
      <c r="M796" s="22"/>
      <c r="N796" s="22"/>
      <c r="O796" s="22"/>
      <c r="P796" s="22"/>
      <c r="Q796" s="23"/>
    </row>
    <row r="797" spans="12:17" ht="15.75" thickBot="1" x14ac:dyDescent="0.3">
      <c r="L797" s="22"/>
      <c r="M797" s="22"/>
      <c r="N797" s="22"/>
      <c r="O797" s="22"/>
      <c r="P797" s="22"/>
      <c r="Q797" s="23"/>
    </row>
    <row r="798" spans="12:17" ht="15.75" thickBot="1" x14ac:dyDescent="0.3">
      <c r="L798" s="22"/>
      <c r="M798" s="22"/>
      <c r="N798" s="22"/>
      <c r="O798" s="22"/>
      <c r="P798" s="22"/>
      <c r="Q798" s="23"/>
    </row>
    <row r="799" spans="12:17" ht="15.75" thickBot="1" x14ac:dyDescent="0.3">
      <c r="L799" s="22"/>
      <c r="M799" s="22"/>
      <c r="N799" s="22"/>
      <c r="O799" s="22"/>
      <c r="P799" s="22"/>
      <c r="Q799" s="23"/>
    </row>
    <row r="800" spans="12:17" ht="15.75" thickBot="1" x14ac:dyDescent="0.3">
      <c r="L800" s="22"/>
      <c r="M800" s="22"/>
      <c r="N800" s="22"/>
      <c r="O800" s="22"/>
      <c r="P800" s="22"/>
      <c r="Q800" s="23"/>
    </row>
    <row r="801" spans="12:17" ht="15.75" thickBot="1" x14ac:dyDescent="0.3">
      <c r="L801" s="22"/>
      <c r="M801" s="22"/>
      <c r="N801" s="22"/>
      <c r="O801" s="22"/>
      <c r="P801" s="22"/>
      <c r="Q801" s="23"/>
    </row>
    <row r="802" spans="12:17" ht="15.75" thickBot="1" x14ac:dyDescent="0.3">
      <c r="L802" s="22"/>
      <c r="M802" s="22"/>
      <c r="N802" s="22"/>
      <c r="O802" s="22"/>
      <c r="P802" s="22"/>
      <c r="Q802" s="23"/>
    </row>
    <row r="803" spans="12:17" ht="15.75" thickBot="1" x14ac:dyDescent="0.3">
      <c r="L803" s="22"/>
      <c r="M803" s="22"/>
      <c r="N803" s="22"/>
      <c r="O803" s="22"/>
      <c r="P803" s="22"/>
      <c r="Q803" s="23"/>
    </row>
    <row r="804" spans="12:17" ht="15.75" thickBot="1" x14ac:dyDescent="0.3">
      <c r="L804" s="22"/>
      <c r="M804" s="22"/>
      <c r="N804" s="22"/>
      <c r="O804" s="22"/>
      <c r="P804" s="22"/>
      <c r="Q804" s="23"/>
    </row>
    <row r="805" spans="12:17" ht="15.75" thickBot="1" x14ac:dyDescent="0.3">
      <c r="L805" s="22"/>
      <c r="M805" s="22"/>
      <c r="N805" s="22"/>
      <c r="O805" s="22"/>
      <c r="P805" s="22"/>
      <c r="Q805" s="23"/>
    </row>
    <row r="806" spans="12:17" ht="15.75" thickBot="1" x14ac:dyDescent="0.3">
      <c r="L806" s="22"/>
      <c r="M806" s="22"/>
      <c r="N806" s="22"/>
      <c r="O806" s="22"/>
      <c r="P806" s="22"/>
      <c r="Q806" s="23"/>
    </row>
    <row r="807" spans="12:17" ht="15.75" thickBot="1" x14ac:dyDescent="0.3">
      <c r="L807" s="22"/>
      <c r="M807" s="22"/>
      <c r="N807" s="22"/>
      <c r="O807" s="22"/>
      <c r="P807" s="22"/>
      <c r="Q807" s="23"/>
    </row>
    <row r="808" spans="12:17" ht="15.75" thickBot="1" x14ac:dyDescent="0.3">
      <c r="L808" s="22"/>
      <c r="M808" s="22"/>
      <c r="N808" s="22"/>
      <c r="O808" s="22"/>
      <c r="P808" s="22"/>
      <c r="Q808" s="23"/>
    </row>
    <row r="809" spans="12:17" ht="15.75" thickBot="1" x14ac:dyDescent="0.3">
      <c r="L809" s="22"/>
      <c r="M809" s="22"/>
      <c r="N809" s="22"/>
      <c r="O809" s="22"/>
      <c r="P809" s="22"/>
      <c r="Q809" s="23"/>
    </row>
    <row r="810" spans="12:17" ht="15.75" thickBot="1" x14ac:dyDescent="0.3">
      <c r="L810" s="22"/>
      <c r="M810" s="22"/>
      <c r="N810" s="22"/>
      <c r="O810" s="22"/>
      <c r="P810" s="22"/>
      <c r="Q810" s="23"/>
    </row>
    <row r="811" spans="12:17" ht="15.75" thickBot="1" x14ac:dyDescent="0.3">
      <c r="L811" s="22"/>
      <c r="M811" s="22"/>
      <c r="N811" s="22"/>
      <c r="O811" s="22"/>
      <c r="P811" s="22"/>
      <c r="Q811" s="23"/>
    </row>
    <row r="812" spans="12:17" ht="15.75" thickBot="1" x14ac:dyDescent="0.3">
      <c r="L812" s="22"/>
      <c r="M812" s="22"/>
      <c r="N812" s="22"/>
      <c r="O812" s="22"/>
      <c r="P812" s="22"/>
      <c r="Q812" s="23"/>
    </row>
    <row r="813" spans="12:17" ht="15.75" thickBot="1" x14ac:dyDescent="0.3">
      <c r="L813" s="22"/>
      <c r="M813" s="22"/>
      <c r="N813" s="22"/>
      <c r="O813" s="22"/>
      <c r="P813" s="22"/>
      <c r="Q813" s="23"/>
    </row>
    <row r="814" spans="12:17" ht="15.75" thickBot="1" x14ac:dyDescent="0.3">
      <c r="L814" s="22"/>
      <c r="M814" s="22"/>
      <c r="N814" s="22"/>
      <c r="O814" s="22"/>
      <c r="P814" s="22"/>
      <c r="Q814" s="23"/>
    </row>
    <row r="815" spans="12:17" ht="15.75" thickBot="1" x14ac:dyDescent="0.3">
      <c r="L815" s="22"/>
      <c r="M815" s="22"/>
      <c r="N815" s="22"/>
      <c r="O815" s="22"/>
      <c r="P815" s="22"/>
      <c r="Q815" s="23"/>
    </row>
    <row r="816" spans="12:17" ht="15.75" thickBot="1" x14ac:dyDescent="0.3">
      <c r="L816" s="22"/>
      <c r="M816" s="22"/>
      <c r="N816" s="22"/>
      <c r="O816" s="22"/>
      <c r="P816" s="22"/>
      <c r="Q816" s="23"/>
    </row>
    <row r="817" spans="12:17" ht="15.75" thickBot="1" x14ac:dyDescent="0.3">
      <c r="L817" s="22"/>
      <c r="M817" s="22"/>
      <c r="N817" s="22"/>
      <c r="O817" s="22"/>
      <c r="P817" s="22"/>
      <c r="Q817" s="23"/>
    </row>
    <row r="818" spans="12:17" ht="15.75" thickBot="1" x14ac:dyDescent="0.3">
      <c r="L818" s="22"/>
      <c r="M818" s="22"/>
      <c r="N818" s="22"/>
      <c r="O818" s="22"/>
      <c r="P818" s="22"/>
      <c r="Q818" s="23"/>
    </row>
    <row r="819" spans="12:17" ht="15.75" thickBot="1" x14ac:dyDescent="0.3">
      <c r="L819" s="22"/>
      <c r="M819" s="22"/>
      <c r="N819" s="22"/>
      <c r="O819" s="22"/>
      <c r="P819" s="22"/>
      <c r="Q819" s="23"/>
    </row>
    <row r="820" spans="12:17" ht="15.75" thickBot="1" x14ac:dyDescent="0.3">
      <c r="L820" s="22"/>
      <c r="M820" s="22"/>
      <c r="N820" s="22"/>
      <c r="O820" s="22"/>
      <c r="P820" s="22"/>
      <c r="Q820" s="23"/>
    </row>
    <row r="821" spans="12:17" ht="15.75" thickBot="1" x14ac:dyDescent="0.3">
      <c r="L821" s="22"/>
      <c r="M821" s="22"/>
      <c r="N821" s="22"/>
      <c r="O821" s="22"/>
      <c r="P821" s="22"/>
      <c r="Q821" s="23"/>
    </row>
    <row r="822" spans="12:17" ht="15.75" thickBot="1" x14ac:dyDescent="0.3">
      <c r="L822" s="22"/>
      <c r="M822" s="22"/>
      <c r="N822" s="22"/>
      <c r="O822" s="22"/>
      <c r="P822" s="22"/>
      <c r="Q822" s="23"/>
    </row>
    <row r="823" spans="12:17" ht="15.75" thickBot="1" x14ac:dyDescent="0.3">
      <c r="L823" s="22"/>
      <c r="M823" s="22"/>
      <c r="N823" s="22"/>
      <c r="O823" s="22"/>
      <c r="P823" s="22"/>
      <c r="Q823" s="23"/>
    </row>
    <row r="824" spans="12:17" ht="15.75" thickBot="1" x14ac:dyDescent="0.3">
      <c r="L824" s="22"/>
      <c r="M824" s="22"/>
      <c r="N824" s="22"/>
      <c r="O824" s="22"/>
      <c r="P824" s="22"/>
      <c r="Q824" s="23"/>
    </row>
    <row r="825" spans="12:17" ht="15.75" thickBot="1" x14ac:dyDescent="0.3">
      <c r="L825" s="22"/>
      <c r="M825" s="22"/>
      <c r="N825" s="22"/>
      <c r="O825" s="22"/>
      <c r="P825" s="22"/>
      <c r="Q825" s="23"/>
    </row>
    <row r="826" spans="12:17" ht="15.75" thickBot="1" x14ac:dyDescent="0.3">
      <c r="L826" s="22"/>
      <c r="M826" s="22"/>
      <c r="N826" s="22"/>
      <c r="O826" s="22"/>
      <c r="P826" s="22"/>
      <c r="Q826" s="23"/>
    </row>
    <row r="827" spans="12:17" ht="15.75" thickBot="1" x14ac:dyDescent="0.3">
      <c r="L827" s="22"/>
      <c r="M827" s="22"/>
      <c r="N827" s="22"/>
      <c r="O827" s="22"/>
      <c r="P827" s="22"/>
      <c r="Q827" s="23"/>
    </row>
    <row r="828" spans="12:17" ht="15.75" thickBot="1" x14ac:dyDescent="0.3">
      <c r="L828" s="22"/>
      <c r="M828" s="22"/>
      <c r="N828" s="22"/>
      <c r="O828" s="22"/>
      <c r="P828" s="22"/>
      <c r="Q828" s="23"/>
    </row>
    <row r="829" spans="12:17" ht="15.75" thickBot="1" x14ac:dyDescent="0.3">
      <c r="L829" s="22"/>
      <c r="M829" s="22"/>
      <c r="N829" s="22"/>
      <c r="O829" s="22"/>
      <c r="P829" s="22"/>
      <c r="Q829" s="23"/>
    </row>
    <row r="830" spans="12:17" ht="15.75" thickBot="1" x14ac:dyDescent="0.3">
      <c r="L830" s="22"/>
      <c r="M830" s="22"/>
      <c r="N830" s="22"/>
      <c r="O830" s="22"/>
      <c r="P830" s="22"/>
      <c r="Q830" s="23"/>
    </row>
    <row r="831" spans="12:17" ht="15.75" thickBot="1" x14ac:dyDescent="0.3">
      <c r="L831" s="22"/>
      <c r="M831" s="22"/>
      <c r="N831" s="22"/>
      <c r="O831" s="22"/>
      <c r="P831" s="22"/>
      <c r="Q831" s="23"/>
    </row>
    <row r="832" spans="12:17" ht="15.75" thickBot="1" x14ac:dyDescent="0.3">
      <c r="L832" s="22"/>
      <c r="M832" s="22"/>
      <c r="N832" s="22"/>
      <c r="O832" s="22"/>
      <c r="P832" s="22"/>
      <c r="Q832" s="23"/>
    </row>
    <row r="833" spans="12:17" ht="15.75" thickBot="1" x14ac:dyDescent="0.3">
      <c r="L833" s="22"/>
      <c r="M833" s="22"/>
      <c r="N833" s="22"/>
      <c r="O833" s="22"/>
      <c r="P833" s="22"/>
      <c r="Q833" s="23"/>
    </row>
    <row r="834" spans="12:17" ht="15.75" thickBot="1" x14ac:dyDescent="0.3">
      <c r="L834" s="22"/>
      <c r="M834" s="22"/>
      <c r="N834" s="22"/>
      <c r="O834" s="22"/>
      <c r="P834" s="22"/>
      <c r="Q834" s="23"/>
    </row>
    <row r="835" spans="12:17" ht="15.75" thickBot="1" x14ac:dyDescent="0.3">
      <c r="L835" s="22"/>
      <c r="M835" s="22"/>
      <c r="N835" s="22"/>
      <c r="O835" s="22"/>
      <c r="P835" s="22"/>
      <c r="Q835" s="23"/>
    </row>
    <row r="836" spans="12:17" ht="15.75" thickBot="1" x14ac:dyDescent="0.3">
      <c r="L836" s="22"/>
      <c r="M836" s="22"/>
      <c r="N836" s="22"/>
      <c r="O836" s="22"/>
      <c r="P836" s="22"/>
      <c r="Q836" s="23"/>
    </row>
    <row r="837" spans="12:17" ht="15.75" thickBot="1" x14ac:dyDescent="0.3">
      <c r="L837" s="22"/>
      <c r="M837" s="22"/>
      <c r="N837" s="22"/>
      <c r="O837" s="22"/>
      <c r="P837" s="22"/>
      <c r="Q837" s="23"/>
    </row>
    <row r="838" spans="12:17" ht="15.75" thickBot="1" x14ac:dyDescent="0.3">
      <c r="L838" s="22"/>
      <c r="M838" s="22"/>
      <c r="N838" s="22"/>
      <c r="O838" s="22"/>
      <c r="P838" s="22"/>
      <c r="Q838" s="23"/>
    </row>
    <row r="839" spans="12:17" ht="15.75" thickBot="1" x14ac:dyDescent="0.3">
      <c r="L839" s="22"/>
      <c r="M839" s="22"/>
      <c r="N839" s="22"/>
      <c r="O839" s="22"/>
      <c r="P839" s="22"/>
      <c r="Q839" s="23"/>
    </row>
    <row r="840" spans="12:17" ht="15.75" thickBot="1" x14ac:dyDescent="0.3">
      <c r="L840" s="22"/>
      <c r="M840" s="22"/>
      <c r="N840" s="22"/>
      <c r="O840" s="22"/>
      <c r="P840" s="22"/>
      <c r="Q840" s="23"/>
    </row>
    <row r="841" spans="12:17" ht="15.75" thickBot="1" x14ac:dyDescent="0.3">
      <c r="L841" s="22"/>
      <c r="M841" s="22"/>
      <c r="N841" s="22"/>
      <c r="O841" s="22"/>
      <c r="P841" s="22"/>
      <c r="Q841" s="23"/>
    </row>
    <row r="842" spans="12:17" ht="15.75" thickBot="1" x14ac:dyDescent="0.3">
      <c r="L842" s="22"/>
      <c r="M842" s="22"/>
      <c r="N842" s="22"/>
      <c r="O842" s="22"/>
      <c r="P842" s="22"/>
      <c r="Q842" s="23"/>
    </row>
    <row r="843" spans="12:17" ht="15.75" thickBot="1" x14ac:dyDescent="0.3">
      <c r="L843" s="22"/>
      <c r="M843" s="22"/>
      <c r="N843" s="22"/>
      <c r="O843" s="22"/>
      <c r="P843" s="22"/>
      <c r="Q843" s="23"/>
    </row>
    <row r="844" spans="12:17" ht="15.75" thickBot="1" x14ac:dyDescent="0.3">
      <c r="L844" s="22"/>
      <c r="M844" s="22"/>
      <c r="N844" s="22"/>
      <c r="O844" s="22"/>
      <c r="P844" s="22"/>
      <c r="Q844" s="23"/>
    </row>
    <row r="845" spans="12:17" ht="15.75" thickBot="1" x14ac:dyDescent="0.3">
      <c r="L845" s="22"/>
      <c r="M845" s="22"/>
      <c r="N845" s="22"/>
      <c r="O845" s="22"/>
      <c r="P845" s="22"/>
      <c r="Q845" s="23"/>
    </row>
    <row r="846" spans="12:17" ht="15.75" thickBot="1" x14ac:dyDescent="0.3">
      <c r="L846" s="22"/>
      <c r="M846" s="22"/>
      <c r="N846" s="22"/>
      <c r="O846" s="22"/>
      <c r="P846" s="22"/>
      <c r="Q846" s="23"/>
    </row>
    <row r="847" spans="12:17" ht="15.75" thickBot="1" x14ac:dyDescent="0.3">
      <c r="L847" s="22"/>
      <c r="M847" s="22"/>
      <c r="N847" s="22"/>
      <c r="O847" s="22"/>
      <c r="P847" s="22"/>
      <c r="Q847" s="23"/>
    </row>
    <row r="848" spans="12:17" ht="15.75" thickBot="1" x14ac:dyDescent="0.3">
      <c r="L848" s="22"/>
      <c r="M848" s="22"/>
      <c r="N848" s="22"/>
      <c r="O848" s="22"/>
      <c r="P848" s="22"/>
      <c r="Q848" s="23"/>
    </row>
    <row r="849" spans="12:17" ht="15.75" thickBot="1" x14ac:dyDescent="0.3">
      <c r="L849" s="22"/>
      <c r="M849" s="22"/>
      <c r="N849" s="22"/>
      <c r="O849" s="22"/>
      <c r="P849" s="22"/>
      <c r="Q849" s="23"/>
    </row>
    <row r="850" spans="12:17" ht="15.75" thickBot="1" x14ac:dyDescent="0.3">
      <c r="L850" s="22"/>
      <c r="M850" s="22"/>
      <c r="N850" s="22"/>
      <c r="O850" s="22"/>
      <c r="P850" s="22"/>
      <c r="Q850" s="23"/>
    </row>
    <row r="851" spans="12:17" ht="15.75" thickBot="1" x14ac:dyDescent="0.3">
      <c r="L851" s="22"/>
      <c r="M851" s="22"/>
      <c r="N851" s="22"/>
      <c r="O851" s="22"/>
      <c r="P851" s="22"/>
      <c r="Q851" s="23"/>
    </row>
    <row r="852" spans="12:17" ht="15.75" thickBot="1" x14ac:dyDescent="0.3">
      <c r="L852" s="22"/>
      <c r="M852" s="22"/>
      <c r="N852" s="22"/>
      <c r="O852" s="22"/>
      <c r="P852" s="22"/>
      <c r="Q852" s="23"/>
    </row>
    <row r="853" spans="12:17" ht="15.75" thickBot="1" x14ac:dyDescent="0.3">
      <c r="L853" s="22"/>
      <c r="M853" s="22"/>
      <c r="N853" s="22"/>
      <c r="O853" s="22"/>
      <c r="P853" s="22"/>
      <c r="Q853" s="23"/>
    </row>
    <row r="854" spans="12:17" ht="15.75" thickBot="1" x14ac:dyDescent="0.3">
      <c r="L854" s="22"/>
      <c r="M854" s="22"/>
      <c r="N854" s="22"/>
      <c r="O854" s="22"/>
      <c r="P854" s="22"/>
      <c r="Q854" s="23"/>
    </row>
    <row r="855" spans="12:17" ht="15.75" thickBot="1" x14ac:dyDescent="0.3">
      <c r="L855" s="22"/>
      <c r="M855" s="22"/>
      <c r="N855" s="22"/>
      <c r="O855" s="22"/>
      <c r="P855" s="22"/>
      <c r="Q855" s="23"/>
    </row>
    <row r="856" spans="12:17" ht="15.75" thickBot="1" x14ac:dyDescent="0.3">
      <c r="L856" s="22"/>
      <c r="M856" s="22"/>
      <c r="N856" s="22"/>
      <c r="O856" s="22"/>
      <c r="P856" s="22"/>
      <c r="Q856" s="23"/>
    </row>
    <row r="857" spans="12:17" ht="15.75" thickBot="1" x14ac:dyDescent="0.3">
      <c r="L857" s="22"/>
      <c r="M857" s="22"/>
      <c r="N857" s="22"/>
      <c r="O857" s="22"/>
      <c r="P857" s="22"/>
      <c r="Q857" s="23"/>
    </row>
    <row r="858" spans="12:17" ht="15.75" thickBot="1" x14ac:dyDescent="0.3">
      <c r="L858" s="22"/>
      <c r="M858" s="22"/>
      <c r="N858" s="22"/>
      <c r="O858" s="22"/>
      <c r="P858" s="22"/>
      <c r="Q858" s="23"/>
    </row>
    <row r="859" spans="12:17" ht="15.75" thickBot="1" x14ac:dyDescent="0.3">
      <c r="L859" s="22"/>
      <c r="M859" s="22"/>
      <c r="N859" s="22"/>
      <c r="O859" s="22"/>
      <c r="P859" s="22"/>
      <c r="Q859" s="23"/>
    </row>
    <row r="860" spans="12:17" ht="15.75" thickBot="1" x14ac:dyDescent="0.3">
      <c r="L860" s="22"/>
      <c r="M860" s="22"/>
      <c r="N860" s="22"/>
      <c r="O860" s="22"/>
      <c r="P860" s="22"/>
      <c r="Q860" s="23"/>
    </row>
    <row r="861" spans="12:17" ht="15.75" thickBot="1" x14ac:dyDescent="0.3">
      <c r="L861" s="22"/>
      <c r="M861" s="22"/>
      <c r="N861" s="22"/>
      <c r="O861" s="22"/>
      <c r="P861" s="22"/>
      <c r="Q861" s="23"/>
    </row>
    <row r="862" spans="12:17" ht="15.75" thickBot="1" x14ac:dyDescent="0.3">
      <c r="L862" s="22"/>
      <c r="M862" s="22"/>
      <c r="N862" s="22"/>
      <c r="O862" s="22"/>
      <c r="P862" s="22"/>
      <c r="Q862" s="23"/>
    </row>
    <row r="863" spans="12:17" ht="15.75" thickBot="1" x14ac:dyDescent="0.3">
      <c r="L863" s="22"/>
      <c r="M863" s="22"/>
      <c r="N863" s="22"/>
      <c r="O863" s="22"/>
      <c r="P863" s="22"/>
      <c r="Q863" s="23"/>
    </row>
    <row r="864" spans="12:17" ht="15.75" thickBot="1" x14ac:dyDescent="0.3">
      <c r="L864" s="22"/>
      <c r="M864" s="22"/>
      <c r="N864" s="22"/>
      <c r="O864" s="22"/>
      <c r="P864" s="22"/>
      <c r="Q864" s="23"/>
    </row>
    <row r="865" spans="12:17" ht="15.75" thickBot="1" x14ac:dyDescent="0.3">
      <c r="L865" s="22"/>
      <c r="M865" s="22"/>
      <c r="N865" s="22"/>
      <c r="O865" s="22"/>
      <c r="P865" s="22"/>
      <c r="Q865" s="23"/>
    </row>
    <row r="866" spans="12:17" ht="15.75" thickBot="1" x14ac:dyDescent="0.3">
      <c r="L866" s="22"/>
      <c r="M866" s="22"/>
      <c r="N866" s="22"/>
      <c r="O866" s="22"/>
      <c r="P866" s="22"/>
      <c r="Q866" s="23"/>
    </row>
    <row r="867" spans="12:17" ht="15.75" thickBot="1" x14ac:dyDescent="0.3">
      <c r="L867" s="22"/>
      <c r="M867" s="22"/>
      <c r="N867" s="22"/>
      <c r="O867" s="22"/>
      <c r="P867" s="22"/>
      <c r="Q867" s="23"/>
    </row>
    <row r="868" spans="12:17" ht="15.75" thickBot="1" x14ac:dyDescent="0.3">
      <c r="L868" s="22"/>
      <c r="M868" s="22"/>
      <c r="N868" s="22"/>
      <c r="O868" s="22"/>
      <c r="P868" s="22"/>
      <c r="Q868" s="23"/>
    </row>
    <row r="869" spans="12:17" ht="15.75" thickBot="1" x14ac:dyDescent="0.3">
      <c r="L869" s="22"/>
      <c r="M869" s="22"/>
      <c r="N869" s="22"/>
      <c r="O869" s="22"/>
      <c r="P869" s="22"/>
      <c r="Q869" s="23"/>
    </row>
    <row r="870" spans="12:17" ht="15.75" thickBot="1" x14ac:dyDescent="0.3">
      <c r="L870" s="22"/>
      <c r="M870" s="22"/>
      <c r="N870" s="22"/>
      <c r="O870" s="22"/>
      <c r="P870" s="22"/>
      <c r="Q870" s="23"/>
    </row>
    <row r="871" spans="12:17" ht="15.75" thickBot="1" x14ac:dyDescent="0.3">
      <c r="L871" s="22"/>
      <c r="M871" s="22"/>
      <c r="N871" s="22"/>
      <c r="O871" s="22"/>
      <c r="P871" s="22"/>
      <c r="Q871" s="23"/>
    </row>
    <row r="872" spans="12:17" ht="15.75" thickBot="1" x14ac:dyDescent="0.3">
      <c r="L872" s="22"/>
      <c r="M872" s="22"/>
      <c r="N872" s="22"/>
      <c r="O872" s="22"/>
      <c r="P872" s="22"/>
      <c r="Q872" s="23"/>
    </row>
    <row r="873" spans="12:17" ht="15.75" thickBot="1" x14ac:dyDescent="0.3">
      <c r="L873" s="22"/>
      <c r="M873" s="22"/>
      <c r="N873" s="22"/>
      <c r="O873" s="22"/>
      <c r="P873" s="22"/>
      <c r="Q873" s="23"/>
    </row>
    <row r="874" spans="12:17" ht="15.75" thickBot="1" x14ac:dyDescent="0.3">
      <c r="L874" s="22"/>
      <c r="M874" s="22"/>
      <c r="N874" s="22"/>
      <c r="O874" s="22"/>
      <c r="P874" s="22"/>
      <c r="Q874" s="23"/>
    </row>
    <row r="875" spans="12:17" ht="15.75" thickBot="1" x14ac:dyDescent="0.3">
      <c r="L875" s="22"/>
      <c r="M875" s="22"/>
      <c r="N875" s="22"/>
      <c r="O875" s="22"/>
      <c r="P875" s="22"/>
      <c r="Q875" s="23"/>
    </row>
    <row r="876" spans="12:17" ht="15.75" thickBot="1" x14ac:dyDescent="0.3">
      <c r="L876" s="22"/>
      <c r="M876" s="22"/>
      <c r="N876" s="22"/>
      <c r="O876" s="22"/>
      <c r="P876" s="22"/>
      <c r="Q876" s="23"/>
    </row>
    <row r="877" spans="12:17" ht="15.75" thickBot="1" x14ac:dyDescent="0.3">
      <c r="L877" s="22"/>
      <c r="M877" s="22"/>
      <c r="N877" s="22"/>
      <c r="O877" s="22"/>
      <c r="P877" s="22"/>
      <c r="Q877" s="23"/>
    </row>
    <row r="878" spans="12:17" ht="15.75" thickBot="1" x14ac:dyDescent="0.3">
      <c r="L878" s="22"/>
      <c r="M878" s="22"/>
      <c r="N878" s="22"/>
      <c r="O878" s="22"/>
      <c r="P878" s="22"/>
      <c r="Q878" s="23"/>
    </row>
    <row r="879" spans="12:17" ht="15.75" thickBot="1" x14ac:dyDescent="0.3">
      <c r="L879" s="22"/>
      <c r="M879" s="22"/>
      <c r="N879" s="22"/>
      <c r="O879" s="22"/>
      <c r="P879" s="22"/>
      <c r="Q879" s="23"/>
    </row>
    <row r="880" spans="12:17" ht="15.75" thickBot="1" x14ac:dyDescent="0.3">
      <c r="L880" s="22"/>
      <c r="M880" s="22"/>
      <c r="N880" s="22"/>
      <c r="O880" s="22"/>
      <c r="P880" s="22"/>
      <c r="Q880" s="23"/>
    </row>
    <row r="881" spans="12:17" ht="15.75" thickBot="1" x14ac:dyDescent="0.3">
      <c r="L881" s="22"/>
      <c r="M881" s="22"/>
      <c r="N881" s="22"/>
      <c r="O881" s="22"/>
      <c r="P881" s="22"/>
      <c r="Q881" s="23"/>
    </row>
    <row r="882" spans="12:17" ht="15.75" thickBot="1" x14ac:dyDescent="0.3">
      <c r="L882" s="22"/>
      <c r="M882" s="22"/>
      <c r="N882" s="22"/>
      <c r="O882" s="22"/>
      <c r="P882" s="22"/>
      <c r="Q882" s="23"/>
    </row>
    <row r="883" spans="12:17" ht="15.75" thickBot="1" x14ac:dyDescent="0.3">
      <c r="L883" s="22"/>
      <c r="M883" s="22"/>
      <c r="N883" s="22"/>
      <c r="O883" s="22"/>
      <c r="P883" s="22"/>
      <c r="Q883" s="23"/>
    </row>
    <row r="884" spans="12:17" ht="15.75" thickBot="1" x14ac:dyDescent="0.3">
      <c r="L884" s="22"/>
      <c r="M884" s="22"/>
      <c r="N884" s="22"/>
      <c r="O884" s="22"/>
      <c r="P884" s="22"/>
      <c r="Q884" s="23"/>
    </row>
    <row r="885" spans="12:17" ht="15.75" thickBot="1" x14ac:dyDescent="0.3">
      <c r="L885" s="22"/>
      <c r="M885" s="22"/>
      <c r="N885" s="22"/>
      <c r="O885" s="22"/>
      <c r="P885" s="22"/>
      <c r="Q885" s="23"/>
    </row>
    <row r="886" spans="12:17" ht="15.75" thickBot="1" x14ac:dyDescent="0.3">
      <c r="L886" s="22"/>
      <c r="M886" s="22"/>
      <c r="N886" s="22"/>
      <c r="O886" s="22"/>
      <c r="P886" s="22"/>
      <c r="Q886" s="23"/>
    </row>
    <row r="887" spans="12:17" ht="15.75" thickBot="1" x14ac:dyDescent="0.3">
      <c r="L887" s="22"/>
      <c r="M887" s="22"/>
      <c r="N887" s="22"/>
      <c r="O887" s="22"/>
      <c r="P887" s="22"/>
      <c r="Q887" s="23"/>
    </row>
    <row r="888" spans="12:17" ht="15.75" thickBot="1" x14ac:dyDescent="0.3">
      <c r="L888" s="22"/>
      <c r="M888" s="22"/>
      <c r="N888" s="22"/>
      <c r="O888" s="22"/>
      <c r="P888" s="22"/>
      <c r="Q888" s="23"/>
    </row>
    <row r="889" spans="12:17" ht="15.75" thickBot="1" x14ac:dyDescent="0.3">
      <c r="L889" s="22"/>
      <c r="M889" s="22"/>
      <c r="N889" s="22"/>
      <c r="O889" s="22"/>
      <c r="P889" s="22"/>
      <c r="Q889" s="23"/>
    </row>
    <row r="890" spans="12:17" ht="15.75" thickBot="1" x14ac:dyDescent="0.3">
      <c r="L890" s="22"/>
      <c r="M890" s="22"/>
      <c r="N890" s="22"/>
      <c r="O890" s="22"/>
      <c r="P890" s="22"/>
      <c r="Q890" s="23"/>
    </row>
    <row r="891" spans="12:17" ht="15.75" thickBot="1" x14ac:dyDescent="0.3">
      <c r="L891" s="22"/>
      <c r="M891" s="22"/>
      <c r="N891" s="22"/>
      <c r="O891" s="22"/>
      <c r="P891" s="22"/>
      <c r="Q891" s="23"/>
    </row>
    <row r="892" spans="12:17" ht="15.75" thickBot="1" x14ac:dyDescent="0.3">
      <c r="L892" s="22"/>
      <c r="M892" s="22"/>
      <c r="N892" s="22"/>
      <c r="O892" s="22"/>
      <c r="P892" s="22"/>
      <c r="Q892" s="23"/>
    </row>
    <row r="893" spans="12:17" ht="15.75" thickBot="1" x14ac:dyDescent="0.3">
      <c r="L893" s="22"/>
      <c r="M893" s="22"/>
      <c r="N893" s="22"/>
      <c r="O893" s="22"/>
      <c r="P893" s="22"/>
      <c r="Q893" s="23"/>
    </row>
    <row r="894" spans="12:17" ht="15.75" thickBot="1" x14ac:dyDescent="0.3">
      <c r="L894" s="22"/>
      <c r="M894" s="22"/>
      <c r="N894" s="22"/>
      <c r="O894" s="22"/>
      <c r="P894" s="22"/>
      <c r="Q894" s="23"/>
    </row>
    <row r="895" spans="12:17" ht="15.75" thickBot="1" x14ac:dyDescent="0.3">
      <c r="L895" s="22"/>
      <c r="M895" s="22"/>
      <c r="N895" s="22"/>
      <c r="O895" s="22"/>
      <c r="P895" s="22"/>
      <c r="Q895" s="23"/>
    </row>
    <row r="896" spans="12:17" ht="15.75" thickBot="1" x14ac:dyDescent="0.3">
      <c r="L896" s="22"/>
      <c r="M896" s="22"/>
      <c r="N896" s="22"/>
      <c r="O896" s="22"/>
      <c r="P896" s="22"/>
      <c r="Q896" s="23"/>
    </row>
    <row r="897" spans="12:17" ht="15.75" thickBot="1" x14ac:dyDescent="0.3">
      <c r="L897" s="22"/>
      <c r="M897" s="22"/>
      <c r="N897" s="22"/>
      <c r="O897" s="22"/>
      <c r="P897" s="22"/>
      <c r="Q897" s="23"/>
    </row>
    <row r="898" spans="12:17" ht="15.75" thickBot="1" x14ac:dyDescent="0.3">
      <c r="L898" s="22"/>
      <c r="M898" s="22"/>
      <c r="N898" s="22"/>
      <c r="O898" s="22"/>
      <c r="P898" s="22"/>
      <c r="Q898" s="23"/>
    </row>
    <row r="899" spans="12:17" ht="15.75" thickBot="1" x14ac:dyDescent="0.3">
      <c r="L899" s="22"/>
      <c r="M899" s="22"/>
      <c r="N899" s="22"/>
      <c r="O899" s="22"/>
      <c r="P899" s="22"/>
      <c r="Q899" s="23"/>
    </row>
    <row r="900" spans="12:17" ht="15.75" thickBot="1" x14ac:dyDescent="0.3">
      <c r="L900" s="22"/>
      <c r="M900" s="22"/>
      <c r="N900" s="22"/>
      <c r="O900" s="22"/>
      <c r="P900" s="22"/>
      <c r="Q900" s="23"/>
    </row>
    <row r="901" spans="12:17" ht="15.75" thickBot="1" x14ac:dyDescent="0.3">
      <c r="L901" s="22"/>
      <c r="M901" s="22"/>
      <c r="N901" s="22"/>
      <c r="O901" s="22"/>
      <c r="P901" s="22"/>
      <c r="Q901" s="23"/>
    </row>
    <row r="902" spans="12:17" ht="15.75" thickBot="1" x14ac:dyDescent="0.3">
      <c r="L902" s="22"/>
      <c r="M902" s="22"/>
      <c r="N902" s="22"/>
      <c r="O902" s="22"/>
      <c r="P902" s="22"/>
      <c r="Q902" s="23"/>
    </row>
    <row r="903" spans="12:17" ht="15.75" thickBot="1" x14ac:dyDescent="0.3">
      <c r="L903" s="22"/>
      <c r="M903" s="22"/>
      <c r="N903" s="22"/>
      <c r="O903" s="22"/>
      <c r="P903" s="22"/>
      <c r="Q903" s="23"/>
    </row>
    <row r="904" spans="12:17" ht="15.75" thickBot="1" x14ac:dyDescent="0.3">
      <c r="L904" s="22"/>
      <c r="M904" s="22"/>
      <c r="N904" s="22"/>
      <c r="O904" s="22"/>
      <c r="P904" s="22"/>
      <c r="Q904" s="23"/>
    </row>
    <row r="905" spans="12:17" ht="15.75" thickBot="1" x14ac:dyDescent="0.3">
      <c r="L905" s="22"/>
      <c r="M905" s="22"/>
      <c r="N905" s="22"/>
      <c r="O905" s="22"/>
      <c r="P905" s="22"/>
      <c r="Q905" s="23"/>
    </row>
    <row r="906" spans="12:17" ht="15.75" thickBot="1" x14ac:dyDescent="0.3">
      <c r="L906" s="22"/>
      <c r="M906" s="22"/>
      <c r="N906" s="22"/>
      <c r="O906" s="22"/>
      <c r="P906" s="22"/>
      <c r="Q906" s="23"/>
    </row>
    <row r="907" spans="12:17" ht="15.75" thickBot="1" x14ac:dyDescent="0.3">
      <c r="L907" s="22"/>
      <c r="M907" s="22"/>
      <c r="N907" s="22"/>
      <c r="O907" s="22"/>
      <c r="P907" s="22"/>
      <c r="Q907" s="23"/>
    </row>
    <row r="908" spans="12:17" ht="15.75" thickBot="1" x14ac:dyDescent="0.3">
      <c r="L908" s="22"/>
      <c r="M908" s="22"/>
      <c r="N908" s="22"/>
      <c r="O908" s="22"/>
      <c r="P908" s="22"/>
      <c r="Q908" s="23"/>
    </row>
    <row r="909" spans="12:17" ht="15.75" thickBot="1" x14ac:dyDescent="0.3">
      <c r="L909" s="22"/>
      <c r="M909" s="22"/>
      <c r="N909" s="22"/>
      <c r="O909" s="22"/>
      <c r="P909" s="22"/>
      <c r="Q909" s="23"/>
    </row>
    <row r="910" spans="12:17" ht="15.75" thickBot="1" x14ac:dyDescent="0.3">
      <c r="L910" s="22"/>
      <c r="M910" s="22"/>
      <c r="N910" s="22"/>
      <c r="O910" s="22"/>
      <c r="P910" s="22"/>
      <c r="Q910" s="23"/>
    </row>
    <row r="911" spans="12:17" ht="15.75" thickBot="1" x14ac:dyDescent="0.3">
      <c r="L911" s="22"/>
      <c r="M911" s="22"/>
      <c r="N911" s="22"/>
      <c r="O911" s="22"/>
      <c r="P911" s="22"/>
      <c r="Q911" s="23"/>
    </row>
    <row r="912" spans="12:17" ht="15.75" thickBot="1" x14ac:dyDescent="0.3">
      <c r="L912" s="22"/>
      <c r="M912" s="22"/>
      <c r="N912" s="22"/>
      <c r="O912" s="22"/>
      <c r="P912" s="22"/>
      <c r="Q912" s="23"/>
    </row>
    <row r="913" spans="12:17" ht="15.75" thickBot="1" x14ac:dyDescent="0.3">
      <c r="L913" s="22"/>
      <c r="M913" s="22"/>
      <c r="N913" s="22"/>
      <c r="O913" s="22"/>
      <c r="P913" s="22"/>
      <c r="Q913" s="23"/>
    </row>
    <row r="914" spans="12:17" ht="15.75" thickBot="1" x14ac:dyDescent="0.3">
      <c r="L914" s="22"/>
      <c r="M914" s="22"/>
      <c r="N914" s="22"/>
      <c r="O914" s="22"/>
      <c r="P914" s="22"/>
      <c r="Q914" s="23"/>
    </row>
    <row r="915" spans="12:17" ht="15.75" thickBot="1" x14ac:dyDescent="0.3">
      <c r="L915" s="22"/>
      <c r="M915" s="22"/>
      <c r="N915" s="22"/>
      <c r="O915" s="22"/>
      <c r="P915" s="22"/>
      <c r="Q915" s="23"/>
    </row>
    <row r="916" spans="12:17" ht="15.75" thickBot="1" x14ac:dyDescent="0.3">
      <c r="L916" s="22"/>
      <c r="M916" s="22"/>
      <c r="N916" s="22"/>
      <c r="O916" s="22"/>
      <c r="P916" s="22"/>
      <c r="Q916" s="23"/>
    </row>
    <row r="917" spans="12:17" ht="15.75" thickBot="1" x14ac:dyDescent="0.3">
      <c r="L917" s="22"/>
      <c r="M917" s="22"/>
      <c r="N917" s="22"/>
      <c r="O917" s="22"/>
      <c r="P917" s="22"/>
      <c r="Q917" s="23"/>
    </row>
    <row r="918" spans="12:17" ht="15.75" thickBot="1" x14ac:dyDescent="0.3">
      <c r="L918" s="22"/>
      <c r="M918" s="22"/>
      <c r="N918" s="22"/>
      <c r="O918" s="22"/>
      <c r="P918" s="22"/>
      <c r="Q918" s="23"/>
    </row>
    <row r="919" spans="12:17" ht="15.75" thickBot="1" x14ac:dyDescent="0.3">
      <c r="L919" s="22"/>
      <c r="M919" s="22"/>
      <c r="N919" s="22"/>
      <c r="O919" s="22"/>
      <c r="P919" s="22"/>
      <c r="Q919" s="23"/>
    </row>
    <row r="920" spans="12:17" ht="15.75" thickBot="1" x14ac:dyDescent="0.3">
      <c r="L920" s="22"/>
      <c r="M920" s="22"/>
      <c r="N920" s="22"/>
      <c r="O920" s="22"/>
      <c r="P920" s="22"/>
      <c r="Q920" s="23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9294-6216-41DD-BEDC-1A9C087225EF}">
  <sheetPr codeName="Sheet6"/>
  <dimension ref="A1:S93"/>
  <sheetViews>
    <sheetView zoomScale="70" zoomScaleNormal="70" workbookViewId="0">
      <selection activeCell="G8" sqref="G8"/>
    </sheetView>
  </sheetViews>
  <sheetFormatPr defaultRowHeight="15" x14ac:dyDescent="0.25"/>
  <cols>
    <col min="1" max="1" width="46" customWidth="1"/>
    <col min="2" max="2" width="25.28515625" bestFit="1" customWidth="1"/>
    <col min="3" max="3" width="42.140625" customWidth="1"/>
    <col min="4" max="4" width="52.28515625" customWidth="1"/>
    <col min="5" max="5" width="29.7109375" customWidth="1"/>
    <col min="6" max="6" width="25.85546875" customWidth="1"/>
    <col min="7" max="7" width="45.42578125" customWidth="1"/>
    <col min="8" max="8" width="36.28515625" customWidth="1"/>
    <col min="12" max="12" width="34.5703125" bestFit="1" customWidth="1"/>
    <col min="13" max="14" width="11.7109375" customWidth="1"/>
    <col min="16" max="16" width="18.140625" bestFit="1" customWidth="1"/>
    <col min="17" max="18" width="11.7109375" customWidth="1"/>
  </cols>
  <sheetData>
    <row r="1" spans="1:19" ht="30" customHeight="1" x14ac:dyDescent="0.25">
      <c r="A1" s="50" t="s">
        <v>0</v>
      </c>
      <c r="B1" s="7">
        <v>1.9551523681025577E-2</v>
      </c>
      <c r="C1" s="63"/>
    </row>
    <row r="2" spans="1:19" ht="33" customHeight="1" x14ac:dyDescent="0.25">
      <c r="A2" s="50" t="s">
        <v>303</v>
      </c>
      <c r="B2" s="13">
        <v>40</v>
      </c>
      <c r="C2" s="3"/>
      <c r="I2" s="61"/>
    </row>
    <row r="3" spans="1:19" ht="33" customHeight="1" x14ac:dyDescent="0.25">
      <c r="A3" s="64" t="s">
        <v>315</v>
      </c>
      <c r="B3" s="90">
        <v>4.5</v>
      </c>
      <c r="C3" s="13" t="s">
        <v>360</v>
      </c>
      <c r="I3" s="61"/>
    </row>
    <row r="4" spans="1:19" ht="62.25" customHeight="1" x14ac:dyDescent="0.25">
      <c r="A4" s="64" t="s">
        <v>316</v>
      </c>
      <c r="B4" s="48">
        <v>0</v>
      </c>
      <c r="C4" s="13" cm="1">
        <f t="array" ref="C4">MIN(IF(ISNA(D9:D89), "",D9:D89))</f>
        <v>8.5</v>
      </c>
    </row>
    <row r="5" spans="1:19" ht="30" x14ac:dyDescent="0.25">
      <c r="A5" s="65" t="s">
        <v>403</v>
      </c>
      <c r="B5" s="66">
        <f>495.63+200*0.5</f>
        <v>595.63</v>
      </c>
      <c r="C5" s="13" t="s">
        <v>361</v>
      </c>
    </row>
    <row r="6" spans="1:19" x14ac:dyDescent="0.25">
      <c r="A6" s="13" t="s">
        <v>358</v>
      </c>
      <c r="B6" s="13" cm="1">
        <f t="array" ref="B6">MIN(IF(ISNA(G9:G89), "",G9:G89))</f>
        <v>3613.1181205187395</v>
      </c>
      <c r="C6" s="13" cm="1">
        <f t="array" ref="C6">MAX(IF(ISNA(D9:D89), "",D9:D89))</f>
        <v>29.5</v>
      </c>
    </row>
    <row r="7" spans="1:19" x14ac:dyDescent="0.25">
      <c r="A7" s="13" t="s">
        <v>359</v>
      </c>
      <c r="B7" s="13" cm="1">
        <f t="array" ref="B7">MAX(IF(ISNA(G9:G89), "",G9:G89))</f>
        <v>11991.263932255642</v>
      </c>
      <c r="S7" s="4"/>
    </row>
    <row r="8" spans="1:19" ht="45" x14ac:dyDescent="0.25">
      <c r="A8" s="60" t="s">
        <v>317</v>
      </c>
      <c r="B8" s="62" t="s">
        <v>323</v>
      </c>
      <c r="C8" s="60" t="s">
        <v>321</v>
      </c>
      <c r="D8" s="60" t="s">
        <v>320</v>
      </c>
      <c r="E8" s="60" t="s">
        <v>319</v>
      </c>
      <c r="F8" s="60" t="s">
        <v>318</v>
      </c>
      <c r="G8" s="62" t="s">
        <v>404</v>
      </c>
      <c r="H8" s="71" t="s">
        <v>335</v>
      </c>
      <c r="S8" s="4"/>
    </row>
    <row r="9" spans="1:19" x14ac:dyDescent="0.25">
      <c r="A9" s="68" t="s">
        <v>40</v>
      </c>
      <c r="B9" s="68" t="s">
        <v>324</v>
      </c>
      <c r="C9" s="5">
        <v>18</v>
      </c>
      <c r="D9" s="67">
        <f>IF(ISNUMBER(C9+SUM($B$3:$B$4)),C9+SUM($B$3:$B$4),NA())</f>
        <v>22.5</v>
      </c>
      <c r="E9" s="67">
        <v>4466.60431556401</v>
      </c>
      <c r="F9" s="67">
        <f>IF(ISNUMBER(E9+$B$5),E9+$B$5,NA())</f>
        <v>5062.2343155640101</v>
      </c>
      <c r="G9" s="67">
        <f>F9</f>
        <v>5062.2343155640101</v>
      </c>
      <c r="H9" s="5" t="str">
        <f>IFERROR(VLOOKUP(A9,'Capacity factor'!$L$7:$R$129,6,FALSE),"")</f>
        <v/>
      </c>
      <c r="S9" s="4"/>
    </row>
    <row r="10" spans="1:19" x14ac:dyDescent="0.25">
      <c r="A10" s="68" t="s">
        <v>64</v>
      </c>
      <c r="B10" s="68" t="s">
        <v>325</v>
      </c>
      <c r="C10" s="5">
        <v>18</v>
      </c>
      <c r="D10" s="67">
        <f t="shared" ref="D10:D73" si="0">IF(ISNUMBER(C10+SUM($B$3:$B$4)),C10+SUM($B$3:$B$4),NA())</f>
        <v>22.5</v>
      </c>
      <c r="E10" s="67">
        <v>3030.7655301489194</v>
      </c>
      <c r="F10" s="67">
        <f t="shared" ref="F10:F73" si="1">IF(ISNUMBER(E10+$B$5),E10+$B$5,NA())</f>
        <v>3626.3955301489195</v>
      </c>
      <c r="G10" s="67">
        <f t="shared" ref="G10:G73" si="2">F10</f>
        <v>3626.3955301489195</v>
      </c>
      <c r="H10" s="5" t="str">
        <f>IFERROR(VLOOKUP(A10,'Capacity factor'!$L$7:$R$129,6,FALSE),"")</f>
        <v/>
      </c>
      <c r="I10" s="73" t="s">
        <v>356</v>
      </c>
      <c r="J10" s="75">
        <f>COUNT(G9:G89)</f>
        <v>46</v>
      </c>
      <c r="S10" s="4"/>
    </row>
    <row r="11" spans="1:19" x14ac:dyDescent="0.25">
      <c r="A11" s="68" t="s">
        <v>107</v>
      </c>
      <c r="B11" s="68" t="s">
        <v>95</v>
      </c>
      <c r="C11" s="5">
        <v>10</v>
      </c>
      <c r="D11" s="67">
        <f>IF(ISNUMBER(C11+SUM($B$3:$B$4)),C11+SUM($B$3:$B$4),NA())</f>
        <v>14.5</v>
      </c>
      <c r="E11" s="67">
        <v>6352.6200478783903</v>
      </c>
      <c r="F11" s="67">
        <f t="shared" si="1"/>
        <v>6948.2500478783904</v>
      </c>
      <c r="G11" s="67">
        <f t="shared" si="2"/>
        <v>6948.2500478783904</v>
      </c>
      <c r="H11" s="5">
        <f>IFERROR(VLOOKUP(A11,'Capacity factor'!$L$7:$R$129,6,FALSE),"")</f>
        <v>0</v>
      </c>
      <c r="I11" s="73" t="s">
        <v>356</v>
      </c>
      <c r="J11" s="75">
        <f>COUNT(D9:D89)</f>
        <v>23</v>
      </c>
      <c r="S11" s="4"/>
    </row>
    <row r="12" spans="1:19" x14ac:dyDescent="0.25">
      <c r="A12" s="68" t="s">
        <v>108</v>
      </c>
      <c r="B12" s="68" t="s">
        <v>95</v>
      </c>
      <c r="C12" s="5">
        <v>10</v>
      </c>
      <c r="D12" s="67">
        <f>IF(ISNUMBER(C12+SUM($B$3:$B$4)),C12+SUM($B$3:$B$4),NA())</f>
        <v>14.5</v>
      </c>
      <c r="E12" s="67">
        <v>6352.6200478783903</v>
      </c>
      <c r="F12" s="67">
        <f t="shared" si="1"/>
        <v>6948.2500478783904</v>
      </c>
      <c r="G12" s="67">
        <f t="shared" si="2"/>
        <v>6948.2500478783904</v>
      </c>
      <c r="H12" s="5">
        <f>IFERROR(VLOOKUP(A12,'Capacity factor'!$L$7:$R$129,6,FALSE),"")</f>
        <v>99.3</v>
      </c>
      <c r="S12" s="4"/>
    </row>
    <row r="13" spans="1:19" x14ac:dyDescent="0.25">
      <c r="A13" s="68" t="s">
        <v>139</v>
      </c>
      <c r="B13" s="68" t="s">
        <v>326</v>
      </c>
      <c r="C13" s="5">
        <v>11</v>
      </c>
      <c r="D13" s="70" t="e">
        <v>#N/A</v>
      </c>
      <c r="E13" s="67">
        <v>3086.0791368603323</v>
      </c>
      <c r="F13" s="67">
        <f t="shared" si="1"/>
        <v>3681.7091368603324</v>
      </c>
      <c r="G13" s="70" t="e">
        <v>#N/A</v>
      </c>
      <c r="H13" s="5">
        <f>IFERROR(VLOOKUP(A13,'Capacity factor'!$L$7:$R$129,6,FALSE),"")</f>
        <v>0</v>
      </c>
      <c r="S13" s="4"/>
    </row>
    <row r="14" spans="1:19" x14ac:dyDescent="0.25">
      <c r="A14" s="68" t="s">
        <v>140</v>
      </c>
      <c r="B14" s="68" t="s">
        <v>326</v>
      </c>
      <c r="C14" s="5">
        <v>10</v>
      </c>
      <c r="D14" s="70" t="e">
        <v>#N/A</v>
      </c>
      <c r="E14" s="67">
        <v>3161.637932988303</v>
      </c>
      <c r="F14" s="67">
        <f t="shared" si="1"/>
        <v>3757.2679329883031</v>
      </c>
      <c r="G14" s="70" t="e">
        <v>#N/A</v>
      </c>
      <c r="H14" s="5">
        <f>IFERROR(VLOOKUP(A14,'Capacity factor'!$L$7:$R$129,6,FALSE),"")</f>
        <v>99.5</v>
      </c>
      <c r="I14" t="s">
        <v>3</v>
      </c>
      <c r="S14" s="4"/>
    </row>
    <row r="15" spans="1:19" x14ac:dyDescent="0.25">
      <c r="A15" s="68" t="s">
        <v>141</v>
      </c>
      <c r="B15" s="68" t="s">
        <v>326</v>
      </c>
      <c r="C15" s="5">
        <v>10</v>
      </c>
      <c r="D15" s="67">
        <f t="shared" si="0"/>
        <v>14.5</v>
      </c>
      <c r="E15" s="67" t="e">
        <v>#DIV/0!</v>
      </c>
      <c r="F15" s="67" t="e">
        <f t="shared" si="1"/>
        <v>#N/A</v>
      </c>
      <c r="G15" s="67" t="e">
        <f t="shared" si="2"/>
        <v>#N/A</v>
      </c>
      <c r="H15" s="5">
        <f>IFERROR(VLOOKUP(A15,'Capacity factor'!$L$7:$R$129,6,FALSE),"")</f>
        <v>83.9</v>
      </c>
      <c r="I15" t="s">
        <v>5</v>
      </c>
      <c r="S15" s="4"/>
    </row>
    <row r="16" spans="1:19" x14ac:dyDescent="0.25">
      <c r="A16" s="68" t="s">
        <v>142</v>
      </c>
      <c r="B16" s="68" t="s">
        <v>326</v>
      </c>
      <c r="C16" s="5">
        <v>8</v>
      </c>
      <c r="D16" s="67">
        <f t="shared" si="0"/>
        <v>12.5</v>
      </c>
      <c r="E16" s="67" t="e">
        <v>#DIV/0!</v>
      </c>
      <c r="F16" s="67" t="e">
        <f t="shared" si="1"/>
        <v>#N/A</v>
      </c>
      <c r="G16" s="67" t="e">
        <f t="shared" si="2"/>
        <v>#N/A</v>
      </c>
      <c r="H16" s="5">
        <f>IFERROR(VLOOKUP(A16,'Capacity factor'!$L$7:$R$129,6,FALSE),"")</f>
        <v>79.2</v>
      </c>
      <c r="S16" s="4"/>
    </row>
    <row r="17" spans="1:19" x14ac:dyDescent="0.25">
      <c r="A17" s="68" t="s">
        <v>143</v>
      </c>
      <c r="B17" s="68" t="s">
        <v>326</v>
      </c>
      <c r="C17" s="5">
        <v>7</v>
      </c>
      <c r="D17" s="70" t="e">
        <v>#N/A</v>
      </c>
      <c r="E17" s="67">
        <v>2698.7701758216153</v>
      </c>
      <c r="F17" s="67">
        <f t="shared" si="1"/>
        <v>3294.4001758216154</v>
      </c>
      <c r="G17" s="70" t="e">
        <v>#N/A</v>
      </c>
      <c r="H17" s="5">
        <f>IFERROR(VLOOKUP(A17,'Capacity factor'!$L$7:$R$129,6,FALSE),"")</f>
        <v>85.4</v>
      </c>
    </row>
    <row r="18" spans="1:19" x14ac:dyDescent="0.25">
      <c r="A18" s="68" t="s">
        <v>307</v>
      </c>
      <c r="B18" s="68" t="s">
        <v>326</v>
      </c>
      <c r="C18" s="5">
        <v>7</v>
      </c>
      <c r="D18" s="67">
        <f t="shared" si="0"/>
        <v>11.5</v>
      </c>
      <c r="E18" s="67">
        <v>4631.2531563151188</v>
      </c>
      <c r="F18" s="67">
        <f t="shared" si="1"/>
        <v>5226.8831563151189</v>
      </c>
      <c r="G18" s="67">
        <f t="shared" si="2"/>
        <v>5226.8831563151189</v>
      </c>
      <c r="H18" s="5" t="str">
        <f>IFERROR(VLOOKUP(A18,'Capacity factor'!$L$7:$R$129,6,FALSE),"")</f>
        <v/>
      </c>
    </row>
    <row r="19" spans="1:19" x14ac:dyDescent="0.25">
      <c r="A19" s="68" t="s">
        <v>308</v>
      </c>
      <c r="B19" s="68" t="s">
        <v>326</v>
      </c>
      <c r="C19" s="5">
        <v>11</v>
      </c>
      <c r="D19" s="67">
        <f t="shared" si="0"/>
        <v>15.5</v>
      </c>
      <c r="E19" s="67">
        <v>3830.1850904873118</v>
      </c>
      <c r="F19" s="67">
        <f t="shared" si="1"/>
        <v>4425.8150904873119</v>
      </c>
      <c r="G19" s="67">
        <f t="shared" si="2"/>
        <v>4425.8150904873119</v>
      </c>
      <c r="H19" s="5" t="str">
        <f>IFERROR(VLOOKUP(A19,'Capacity factor'!$L$7:$R$129,6,FALSE),"")</f>
        <v/>
      </c>
    </row>
    <row r="20" spans="1:19" x14ac:dyDescent="0.25">
      <c r="A20" s="68" t="s">
        <v>145</v>
      </c>
      <c r="B20" s="68" t="s">
        <v>326</v>
      </c>
      <c r="C20" s="5">
        <v>5</v>
      </c>
      <c r="D20" s="67">
        <f t="shared" si="0"/>
        <v>9.5</v>
      </c>
      <c r="E20" s="67" t="e">
        <v>#DIV/0!</v>
      </c>
      <c r="F20" s="67" t="e">
        <f t="shared" si="1"/>
        <v>#N/A</v>
      </c>
      <c r="G20" s="67" t="e">
        <f t="shared" si="2"/>
        <v>#N/A</v>
      </c>
      <c r="H20" s="5">
        <f>IFERROR(VLOOKUP(A20,'Capacity factor'!$L$7:$R$129,6,FALSE),"")</f>
        <v>83.7</v>
      </c>
    </row>
    <row r="21" spans="1:19" x14ac:dyDescent="0.25">
      <c r="A21" s="68" t="s">
        <v>146</v>
      </c>
      <c r="B21" s="68" t="s">
        <v>326</v>
      </c>
      <c r="C21" s="5">
        <v>5</v>
      </c>
      <c r="D21" s="70" t="e">
        <v>#N/A</v>
      </c>
      <c r="E21" s="67">
        <v>2692.8096297338957</v>
      </c>
      <c r="F21" s="67">
        <f t="shared" si="1"/>
        <v>3288.4396297338958</v>
      </c>
      <c r="G21" s="70" t="e">
        <v>#N/A</v>
      </c>
      <c r="H21" s="5">
        <f>IFERROR(VLOOKUP(A21,'Capacity factor'!$L$7:$R$129,6,FALSE),"")</f>
        <v>82.9</v>
      </c>
    </row>
    <row r="22" spans="1:19" x14ac:dyDescent="0.25">
      <c r="A22" s="68" t="s">
        <v>147</v>
      </c>
      <c r="B22" s="68" t="s">
        <v>326</v>
      </c>
      <c r="C22" s="5">
        <v>5</v>
      </c>
      <c r="D22" s="67">
        <f t="shared" si="0"/>
        <v>9.5</v>
      </c>
      <c r="E22" s="67" t="e">
        <v>#DIV/0!</v>
      </c>
      <c r="F22" s="67" t="e">
        <f t="shared" si="1"/>
        <v>#N/A</v>
      </c>
      <c r="G22" s="67" t="e">
        <f t="shared" si="2"/>
        <v>#N/A</v>
      </c>
      <c r="H22" s="5">
        <f>IFERROR(VLOOKUP(A22,'Capacity factor'!$L$7:$R$129,6,FALSE),"")</f>
        <v>76.099999999999994</v>
      </c>
    </row>
    <row r="23" spans="1:19" x14ac:dyDescent="0.25">
      <c r="A23" s="68" t="s">
        <v>148</v>
      </c>
      <c r="B23" s="68" t="s">
        <v>326</v>
      </c>
      <c r="C23" s="5">
        <v>5</v>
      </c>
      <c r="D23" s="67">
        <f t="shared" si="0"/>
        <v>9.5</v>
      </c>
      <c r="E23" s="67" t="e">
        <v>#DIV/0!</v>
      </c>
      <c r="F23" s="67" t="e">
        <f t="shared" si="1"/>
        <v>#N/A</v>
      </c>
      <c r="G23" s="67" t="e">
        <f t="shared" si="2"/>
        <v>#N/A</v>
      </c>
      <c r="H23" s="5">
        <f>IFERROR(VLOOKUP(A23,'Capacity factor'!$L$7:$R$129,6,FALSE),"")</f>
        <v>88.6</v>
      </c>
    </row>
    <row r="24" spans="1:19" x14ac:dyDescent="0.25">
      <c r="A24" s="68" t="s">
        <v>149</v>
      </c>
      <c r="B24" s="68" t="s">
        <v>326</v>
      </c>
      <c r="C24" s="5">
        <v>5</v>
      </c>
      <c r="D24" s="67">
        <f t="shared" si="0"/>
        <v>9.5</v>
      </c>
      <c r="E24" s="67" t="e">
        <v>#DIV/0!</v>
      </c>
      <c r="F24" s="67" t="e">
        <f t="shared" si="1"/>
        <v>#N/A</v>
      </c>
      <c r="G24" s="67" t="e">
        <f t="shared" si="2"/>
        <v>#N/A</v>
      </c>
      <c r="H24" s="5">
        <f>IFERROR(VLOOKUP(A24,'Capacity factor'!$L$7:$R$129,6,FALSE),"")</f>
        <v>88.2</v>
      </c>
    </row>
    <row r="25" spans="1:19" x14ac:dyDescent="0.25">
      <c r="A25" s="68" t="s">
        <v>150</v>
      </c>
      <c r="B25" s="68" t="s">
        <v>326</v>
      </c>
      <c r="C25" s="5">
        <v>5</v>
      </c>
      <c r="D25" s="67">
        <f t="shared" si="0"/>
        <v>9.5</v>
      </c>
      <c r="E25" s="67">
        <v>4244.74313684546</v>
      </c>
      <c r="F25" s="67">
        <f t="shared" si="1"/>
        <v>4840.3731368454601</v>
      </c>
      <c r="G25" s="67">
        <f t="shared" si="2"/>
        <v>4840.3731368454601</v>
      </c>
      <c r="H25" s="5">
        <f>IFERROR(VLOOKUP(A25,'Capacity factor'!$L$7:$R$129,6,FALSE),"")</f>
        <v>85.1</v>
      </c>
    </row>
    <row r="26" spans="1:19" x14ac:dyDescent="0.25">
      <c r="A26" s="68" t="s">
        <v>151</v>
      </c>
      <c r="B26" s="68" t="s">
        <v>326</v>
      </c>
      <c r="C26" s="5">
        <v>5</v>
      </c>
      <c r="D26" s="67">
        <f t="shared" si="0"/>
        <v>9.5</v>
      </c>
      <c r="E26" s="67">
        <v>4247.0960395268694</v>
      </c>
      <c r="F26" s="67">
        <f t="shared" si="1"/>
        <v>4842.7260395268695</v>
      </c>
      <c r="G26" s="67">
        <f t="shared" si="2"/>
        <v>4842.7260395268695</v>
      </c>
      <c r="H26" s="5">
        <f>IFERROR(VLOOKUP(A26,'Capacity factor'!$L$7:$R$129,6,FALSE),"")</f>
        <v>79.2</v>
      </c>
      <c r="S26" s="1"/>
    </row>
    <row r="27" spans="1:19" x14ac:dyDescent="0.25">
      <c r="A27" s="68" t="s">
        <v>180</v>
      </c>
      <c r="B27" s="68" t="s">
        <v>327</v>
      </c>
      <c r="C27" s="5">
        <v>5</v>
      </c>
      <c r="D27" s="67">
        <f t="shared" si="0"/>
        <v>9.5</v>
      </c>
      <c r="E27" s="67">
        <v>3812.010648301979</v>
      </c>
      <c r="F27" s="67">
        <f t="shared" si="1"/>
        <v>4407.6406483019791</v>
      </c>
      <c r="G27" s="67">
        <f t="shared" si="2"/>
        <v>4407.6406483019791</v>
      </c>
      <c r="S27" s="1"/>
    </row>
    <row r="28" spans="1:19" x14ac:dyDescent="0.25">
      <c r="A28" s="68" t="s">
        <v>182</v>
      </c>
      <c r="B28" s="68" t="s">
        <v>327</v>
      </c>
      <c r="C28" s="5">
        <v>5</v>
      </c>
      <c r="D28" s="67">
        <f t="shared" si="0"/>
        <v>9.5</v>
      </c>
      <c r="E28" s="67">
        <v>4607.2351682975741</v>
      </c>
      <c r="F28" s="67">
        <f t="shared" si="1"/>
        <v>5202.8651682975742</v>
      </c>
      <c r="G28" s="67">
        <f t="shared" si="2"/>
        <v>5202.8651682975742</v>
      </c>
      <c r="S28" s="1"/>
    </row>
    <row r="29" spans="1:19" x14ac:dyDescent="0.25">
      <c r="A29" s="68" t="s">
        <v>184</v>
      </c>
      <c r="B29" s="68" t="s">
        <v>327</v>
      </c>
      <c r="C29" s="5">
        <v>5</v>
      </c>
      <c r="D29" s="67">
        <f t="shared" si="0"/>
        <v>9.5</v>
      </c>
      <c r="E29" s="67">
        <v>4971.2769944629963</v>
      </c>
      <c r="F29" s="67">
        <f t="shared" si="1"/>
        <v>5566.9069944629964</v>
      </c>
      <c r="G29" s="67">
        <f t="shared" si="2"/>
        <v>5566.9069944629964</v>
      </c>
    </row>
    <row r="30" spans="1:19" x14ac:dyDescent="0.25">
      <c r="A30" s="68" t="s">
        <v>186</v>
      </c>
      <c r="B30" s="68" t="s">
        <v>327</v>
      </c>
      <c r="C30" s="5">
        <v>5</v>
      </c>
      <c r="D30" s="67">
        <f t="shared" si="0"/>
        <v>9.5</v>
      </c>
      <c r="E30" s="67">
        <v>3536.9757847397391</v>
      </c>
      <c r="F30" s="67">
        <f t="shared" si="1"/>
        <v>4132.6057847397387</v>
      </c>
      <c r="G30" s="67">
        <f t="shared" si="2"/>
        <v>4132.6057847397387</v>
      </c>
    </row>
    <row r="31" spans="1:19" x14ac:dyDescent="0.25">
      <c r="A31" s="68" t="s">
        <v>187</v>
      </c>
      <c r="B31" s="68" t="s">
        <v>327</v>
      </c>
      <c r="C31" s="5">
        <v>4</v>
      </c>
      <c r="D31" s="67">
        <f t="shared" si="0"/>
        <v>8.5</v>
      </c>
      <c r="E31" s="67">
        <v>4859.4197041460247</v>
      </c>
      <c r="F31" s="67">
        <f t="shared" si="1"/>
        <v>5455.0497041460249</v>
      </c>
      <c r="G31" s="67">
        <f t="shared" si="2"/>
        <v>5455.0497041460249</v>
      </c>
    </row>
    <row r="32" spans="1:19" x14ac:dyDescent="0.25">
      <c r="A32" s="68" t="s">
        <v>87</v>
      </c>
      <c r="B32" s="68" t="s">
        <v>81</v>
      </c>
      <c r="C32" s="5">
        <v>15</v>
      </c>
      <c r="D32" s="67">
        <f t="shared" si="0"/>
        <v>19.5</v>
      </c>
      <c r="E32" s="67">
        <v>9313.7410446853028</v>
      </c>
      <c r="F32" s="67">
        <f t="shared" si="1"/>
        <v>9909.371044685302</v>
      </c>
      <c r="G32" s="67">
        <f t="shared" si="2"/>
        <v>9909.371044685302</v>
      </c>
    </row>
    <row r="33" spans="1:7" x14ac:dyDescent="0.25">
      <c r="A33" s="68" t="s">
        <v>88</v>
      </c>
      <c r="B33" s="68" t="s">
        <v>81</v>
      </c>
      <c r="C33" s="5">
        <v>15</v>
      </c>
      <c r="D33" s="67">
        <f t="shared" si="0"/>
        <v>19.5</v>
      </c>
      <c r="E33" s="67">
        <v>9313.7410446853028</v>
      </c>
      <c r="F33" s="67">
        <f t="shared" si="1"/>
        <v>9909.371044685302</v>
      </c>
      <c r="G33" s="67">
        <f t="shared" si="2"/>
        <v>9909.371044685302</v>
      </c>
    </row>
    <row r="34" spans="1:7" x14ac:dyDescent="0.25">
      <c r="A34" s="68" t="s">
        <v>96</v>
      </c>
      <c r="B34" s="68" t="s">
        <v>95</v>
      </c>
      <c r="C34" s="5" t="e">
        <v>#VALUE!</v>
      </c>
      <c r="D34" s="67" t="e">
        <f t="shared" si="0"/>
        <v>#N/A</v>
      </c>
      <c r="E34" s="67">
        <v>4001.688251508665</v>
      </c>
      <c r="F34" s="67">
        <f t="shared" si="1"/>
        <v>4597.3182515086646</v>
      </c>
      <c r="G34" s="67">
        <f t="shared" si="2"/>
        <v>4597.3182515086646</v>
      </c>
    </row>
    <row r="35" spans="1:7" x14ac:dyDescent="0.25">
      <c r="A35" s="69" t="s">
        <v>309</v>
      </c>
      <c r="B35" s="69" t="s">
        <v>95</v>
      </c>
      <c r="C35" s="5" t="e">
        <v>#VALUE!</v>
      </c>
      <c r="D35" s="67" t="e">
        <f t="shared" si="0"/>
        <v>#N/A</v>
      </c>
      <c r="E35" s="67">
        <v>3441.4353039242415</v>
      </c>
      <c r="F35" s="67">
        <f t="shared" si="1"/>
        <v>4037.0653039242416</v>
      </c>
      <c r="G35" s="67">
        <f t="shared" si="2"/>
        <v>4037.0653039242416</v>
      </c>
    </row>
    <row r="36" spans="1:7" x14ac:dyDescent="0.25">
      <c r="A36" s="68" t="s">
        <v>98</v>
      </c>
      <c r="B36" s="68" t="s">
        <v>95</v>
      </c>
      <c r="C36" s="5" t="e">
        <v>#VALUE!</v>
      </c>
      <c r="D36" s="67" t="e">
        <f t="shared" si="0"/>
        <v>#N/A</v>
      </c>
      <c r="E36" s="67">
        <v>3441.4353039242415</v>
      </c>
      <c r="F36" s="67">
        <f t="shared" si="1"/>
        <v>4037.0653039242416</v>
      </c>
      <c r="G36" s="67">
        <f t="shared" si="2"/>
        <v>4037.0653039242416</v>
      </c>
    </row>
    <row r="37" spans="1:7" x14ac:dyDescent="0.25">
      <c r="A37" s="28" t="s">
        <v>99</v>
      </c>
      <c r="B37" s="28" t="s">
        <v>95</v>
      </c>
      <c r="C37" s="5" t="e">
        <v>#VALUE!</v>
      </c>
      <c r="D37" s="67" t="e">
        <f t="shared" si="0"/>
        <v>#N/A</v>
      </c>
      <c r="E37" s="67">
        <v>3611.8681682625102</v>
      </c>
      <c r="F37" s="67">
        <f t="shared" si="1"/>
        <v>4207.4981682625103</v>
      </c>
      <c r="G37" s="67">
        <f t="shared" si="2"/>
        <v>4207.4981682625103</v>
      </c>
    </row>
    <row r="38" spans="1:7" x14ac:dyDescent="0.25">
      <c r="A38" s="68" t="s">
        <v>174</v>
      </c>
      <c r="B38" s="68" t="s">
        <v>327</v>
      </c>
      <c r="C38" s="5">
        <v>22</v>
      </c>
      <c r="D38" s="67">
        <f t="shared" si="0"/>
        <v>26.5</v>
      </c>
      <c r="E38" s="67" t="e">
        <v>#DIV/0!</v>
      </c>
      <c r="F38" s="67" t="e">
        <f t="shared" si="1"/>
        <v>#N/A</v>
      </c>
      <c r="G38" s="67" t="e">
        <f t="shared" si="2"/>
        <v>#N/A</v>
      </c>
    </row>
    <row r="39" spans="1:7" x14ac:dyDescent="0.25">
      <c r="A39" s="68" t="s">
        <v>175</v>
      </c>
      <c r="B39" s="68" t="s">
        <v>327</v>
      </c>
      <c r="C39" s="5">
        <v>25</v>
      </c>
      <c r="D39" s="67">
        <f t="shared" si="0"/>
        <v>29.5</v>
      </c>
      <c r="E39" s="67" t="e">
        <v>#DIV/0!</v>
      </c>
      <c r="F39" s="67" t="e">
        <f t="shared" si="1"/>
        <v>#N/A</v>
      </c>
      <c r="G39" s="67" t="e">
        <f t="shared" si="2"/>
        <v>#N/A</v>
      </c>
    </row>
    <row r="40" spans="1:7" x14ac:dyDescent="0.25">
      <c r="A40" s="68" t="s">
        <v>34</v>
      </c>
      <c r="B40" s="68" t="s">
        <v>328</v>
      </c>
      <c r="C40" s="5" t="e">
        <v>#VALUE!</v>
      </c>
      <c r="D40" s="13" t="e">
        <f t="shared" si="0"/>
        <v>#N/A</v>
      </c>
      <c r="E40" s="67">
        <v>6545.6301877516025</v>
      </c>
      <c r="F40" s="67">
        <f t="shared" si="1"/>
        <v>7141.2601877516026</v>
      </c>
      <c r="G40" s="67">
        <f t="shared" si="2"/>
        <v>7141.2601877516026</v>
      </c>
    </row>
    <row r="41" spans="1:7" x14ac:dyDescent="0.25">
      <c r="A41" s="68" t="s">
        <v>36</v>
      </c>
      <c r="B41" s="68" t="s">
        <v>328</v>
      </c>
      <c r="C41" s="5" t="e">
        <v>#VALUE!</v>
      </c>
      <c r="D41" s="13" t="e">
        <f t="shared" si="0"/>
        <v>#N/A</v>
      </c>
      <c r="E41" s="67">
        <v>6545.6301877516025</v>
      </c>
      <c r="F41" s="67">
        <f t="shared" si="1"/>
        <v>7141.2601877516026</v>
      </c>
      <c r="G41" s="67">
        <f t="shared" si="2"/>
        <v>7141.2601877516026</v>
      </c>
    </row>
    <row r="42" spans="1:7" x14ac:dyDescent="0.25">
      <c r="A42" s="68" t="s">
        <v>37</v>
      </c>
      <c r="B42" s="68" t="s">
        <v>328</v>
      </c>
      <c r="C42" s="5" t="e">
        <v>#VALUE!</v>
      </c>
      <c r="D42" s="13" t="e">
        <f t="shared" si="0"/>
        <v>#N/A</v>
      </c>
      <c r="E42" s="67">
        <v>6360.7253801879979</v>
      </c>
      <c r="F42" s="67">
        <f t="shared" si="1"/>
        <v>6956.355380187998</v>
      </c>
      <c r="G42" s="67">
        <f t="shared" si="2"/>
        <v>6956.355380187998</v>
      </c>
    </row>
    <row r="43" spans="1:7" x14ac:dyDescent="0.25">
      <c r="A43" s="68" t="s">
        <v>38</v>
      </c>
      <c r="B43" s="68" t="s">
        <v>328</v>
      </c>
      <c r="C43" s="5" t="e">
        <v>#VALUE!</v>
      </c>
      <c r="D43" s="13" t="e">
        <f t="shared" si="0"/>
        <v>#N/A</v>
      </c>
      <c r="E43" s="67">
        <v>6060.9449645698051</v>
      </c>
      <c r="F43" s="67">
        <f t="shared" si="1"/>
        <v>6656.5749645698052</v>
      </c>
      <c r="G43" s="67">
        <f t="shared" si="2"/>
        <v>6656.5749645698052</v>
      </c>
    </row>
    <row r="44" spans="1:7" x14ac:dyDescent="0.25">
      <c r="A44" s="68" t="s">
        <v>42</v>
      </c>
      <c r="B44" s="68" t="s">
        <v>324</v>
      </c>
      <c r="C44" s="5" t="e">
        <v>#VALUE!</v>
      </c>
      <c r="D44" s="13" t="e">
        <f t="shared" si="0"/>
        <v>#N/A</v>
      </c>
      <c r="E44" s="67">
        <v>8772.7637090237313</v>
      </c>
      <c r="F44" s="67">
        <f t="shared" si="1"/>
        <v>9368.3937090237305</v>
      </c>
      <c r="G44" s="67">
        <f t="shared" si="2"/>
        <v>9368.3937090237305</v>
      </c>
    </row>
    <row r="45" spans="1:7" x14ac:dyDescent="0.25">
      <c r="A45" s="68" t="s">
        <v>43</v>
      </c>
      <c r="B45" s="68" t="s">
        <v>324</v>
      </c>
      <c r="C45" s="5" t="e">
        <v>#VALUE!</v>
      </c>
      <c r="D45" s="13" t="e">
        <f t="shared" si="0"/>
        <v>#N/A</v>
      </c>
      <c r="E45" s="67" t="e">
        <v>#VALUE!</v>
      </c>
      <c r="F45" s="67" t="e">
        <f t="shared" si="1"/>
        <v>#N/A</v>
      </c>
      <c r="G45" s="67" t="e">
        <f t="shared" si="2"/>
        <v>#N/A</v>
      </c>
    </row>
    <row r="46" spans="1:7" x14ac:dyDescent="0.25">
      <c r="A46" s="68"/>
      <c r="B46" s="68" t="s">
        <v>329</v>
      </c>
      <c r="C46" s="5" t="e">
        <v>#VALUE!</v>
      </c>
      <c r="D46" s="13" t="e">
        <f t="shared" si="0"/>
        <v>#N/A</v>
      </c>
      <c r="E46" s="67" t="e">
        <v>#VALUE!</v>
      </c>
      <c r="F46" s="67" t="e">
        <f t="shared" si="1"/>
        <v>#N/A</v>
      </c>
      <c r="G46" s="67" t="e">
        <f t="shared" si="2"/>
        <v>#N/A</v>
      </c>
    </row>
    <row r="47" spans="1:7" x14ac:dyDescent="0.25">
      <c r="A47" s="68" t="s">
        <v>44</v>
      </c>
      <c r="B47" s="68" t="s">
        <v>329</v>
      </c>
      <c r="C47" s="5" t="e">
        <v>#VALUE!</v>
      </c>
      <c r="D47" s="13" t="e">
        <f t="shared" si="0"/>
        <v>#N/A</v>
      </c>
      <c r="E47" s="67">
        <v>4973.6138831227072</v>
      </c>
      <c r="F47" s="67">
        <f t="shared" si="1"/>
        <v>5569.2438831227073</v>
      </c>
      <c r="G47" s="67">
        <f t="shared" si="2"/>
        <v>5569.2438831227073</v>
      </c>
    </row>
    <row r="48" spans="1:7" x14ac:dyDescent="0.25">
      <c r="A48" s="68" t="s">
        <v>310</v>
      </c>
      <c r="B48" s="68" t="s">
        <v>329</v>
      </c>
      <c r="C48" s="5" t="e">
        <v>#VALUE!</v>
      </c>
      <c r="D48" s="13" t="e">
        <f t="shared" si="0"/>
        <v>#N/A</v>
      </c>
      <c r="E48" s="67">
        <v>7460.9643890428715</v>
      </c>
      <c r="F48" s="67">
        <f t="shared" si="1"/>
        <v>8056.5943890428716</v>
      </c>
      <c r="G48" s="67">
        <f t="shared" si="2"/>
        <v>8056.5943890428716</v>
      </c>
    </row>
    <row r="49" spans="1:7" x14ac:dyDescent="0.25">
      <c r="A49" s="68" t="s">
        <v>45</v>
      </c>
      <c r="B49" s="68" t="s">
        <v>329</v>
      </c>
      <c r="C49" s="5" t="e">
        <v>#VALUE!</v>
      </c>
      <c r="D49" s="13" t="e">
        <f t="shared" si="0"/>
        <v>#N/A</v>
      </c>
      <c r="E49" s="67" t="e">
        <v>#VALUE!</v>
      </c>
      <c r="F49" s="67" t="e">
        <f t="shared" si="1"/>
        <v>#N/A</v>
      </c>
      <c r="G49" s="67" t="e">
        <f t="shared" si="2"/>
        <v>#N/A</v>
      </c>
    </row>
    <row r="50" spans="1:7" x14ac:dyDescent="0.25">
      <c r="A50" s="68" t="s">
        <v>46</v>
      </c>
      <c r="B50" s="68" t="s">
        <v>329</v>
      </c>
      <c r="C50" s="5" t="e">
        <v>#VALUE!</v>
      </c>
      <c r="D50" s="13" t="e">
        <f t="shared" si="0"/>
        <v>#N/A</v>
      </c>
      <c r="E50" s="67">
        <v>5065.8230035702709</v>
      </c>
      <c r="F50" s="67">
        <f t="shared" si="1"/>
        <v>5661.453003570271</v>
      </c>
      <c r="G50" s="67">
        <f t="shared" si="2"/>
        <v>5661.453003570271</v>
      </c>
    </row>
    <row r="51" spans="1:7" x14ac:dyDescent="0.25">
      <c r="A51" s="68" t="s">
        <v>311</v>
      </c>
      <c r="B51" s="68" t="s">
        <v>329</v>
      </c>
      <c r="C51" s="5" t="e">
        <v>#VALUE!</v>
      </c>
      <c r="D51" s="13" t="e">
        <f t="shared" si="0"/>
        <v>#N/A</v>
      </c>
      <c r="E51" s="67">
        <v>7599.2881472137187</v>
      </c>
      <c r="F51" s="67">
        <f t="shared" si="1"/>
        <v>8194.9181472137188</v>
      </c>
      <c r="G51" s="67">
        <f t="shared" si="2"/>
        <v>8194.9181472137188</v>
      </c>
    </row>
    <row r="52" spans="1:7" x14ac:dyDescent="0.25">
      <c r="A52" s="68" t="s">
        <v>48</v>
      </c>
      <c r="B52" s="68" t="s">
        <v>329</v>
      </c>
      <c r="C52" s="5" t="e">
        <v>#VALUE!</v>
      </c>
      <c r="D52" s="13" t="e">
        <f t="shared" si="0"/>
        <v>#N/A</v>
      </c>
      <c r="E52" s="67" t="e">
        <v>#VALUE!</v>
      </c>
      <c r="F52" s="67" t="e">
        <f t="shared" si="1"/>
        <v>#N/A</v>
      </c>
      <c r="G52" s="67" t="e">
        <f t="shared" si="2"/>
        <v>#N/A</v>
      </c>
    </row>
    <row r="53" spans="1:7" x14ac:dyDescent="0.25">
      <c r="A53" s="68" t="s">
        <v>49</v>
      </c>
      <c r="B53" s="68" t="s">
        <v>329</v>
      </c>
      <c r="C53" s="5" t="e">
        <v>#VALUE!</v>
      </c>
      <c r="D53" s="13" t="e">
        <f t="shared" si="0"/>
        <v>#N/A</v>
      </c>
      <c r="E53" s="67" t="e">
        <v>#VALUE!</v>
      </c>
      <c r="F53" s="67" t="e">
        <f t="shared" si="1"/>
        <v>#N/A</v>
      </c>
      <c r="G53" s="67" t="e">
        <f t="shared" si="2"/>
        <v>#N/A</v>
      </c>
    </row>
    <row r="54" spans="1:7" x14ac:dyDescent="0.25">
      <c r="A54" s="68" t="s">
        <v>50</v>
      </c>
      <c r="B54" s="68" t="s">
        <v>330</v>
      </c>
      <c r="C54" s="5" t="e">
        <v>#VALUE!</v>
      </c>
      <c r="D54" s="13" t="e">
        <f t="shared" si="0"/>
        <v>#N/A</v>
      </c>
      <c r="E54" s="67">
        <v>7305.0001637045334</v>
      </c>
      <c r="F54" s="67">
        <f t="shared" si="1"/>
        <v>7900.6301637045335</v>
      </c>
      <c r="G54" s="67">
        <f t="shared" si="2"/>
        <v>7900.6301637045335</v>
      </c>
    </row>
    <row r="55" spans="1:7" x14ac:dyDescent="0.25">
      <c r="A55" s="68" t="s">
        <v>50</v>
      </c>
      <c r="B55" s="68" t="s">
        <v>330</v>
      </c>
      <c r="C55" s="5" t="e">
        <v>#VALUE!</v>
      </c>
      <c r="D55" s="13" t="e">
        <f t="shared" si="0"/>
        <v>#N/A</v>
      </c>
      <c r="E55" s="67">
        <v>7305.0001637045334</v>
      </c>
      <c r="F55" s="67">
        <f t="shared" si="1"/>
        <v>7900.6301637045335</v>
      </c>
      <c r="G55" s="67">
        <f t="shared" si="2"/>
        <v>7900.6301637045335</v>
      </c>
    </row>
    <row r="56" spans="1:7" x14ac:dyDescent="0.25">
      <c r="A56" s="68" t="s">
        <v>53</v>
      </c>
      <c r="B56" s="68" t="s">
        <v>331</v>
      </c>
      <c r="C56" s="5" t="e">
        <v>#VALUE!</v>
      </c>
      <c r="D56" s="13" t="e">
        <f t="shared" si="0"/>
        <v>#N/A</v>
      </c>
      <c r="E56" s="67">
        <v>5502.0308900739456</v>
      </c>
      <c r="F56" s="67">
        <f t="shared" si="1"/>
        <v>6097.6608900739457</v>
      </c>
      <c r="G56" s="67">
        <f t="shared" si="2"/>
        <v>6097.6608900739457</v>
      </c>
    </row>
    <row r="57" spans="1:7" x14ac:dyDescent="0.25">
      <c r="A57" s="68" t="s">
        <v>54</v>
      </c>
      <c r="B57" s="68" t="s">
        <v>331</v>
      </c>
      <c r="C57" s="5" t="e">
        <v>#VALUE!</v>
      </c>
      <c r="D57" s="13" t="e">
        <f t="shared" si="0"/>
        <v>#N/A</v>
      </c>
      <c r="E57" s="67">
        <v>5502.0308900739456</v>
      </c>
      <c r="F57" s="67">
        <f t="shared" si="1"/>
        <v>6097.6608900739457</v>
      </c>
      <c r="G57" s="67">
        <f t="shared" si="2"/>
        <v>6097.6608900739457</v>
      </c>
    </row>
    <row r="58" spans="1:7" x14ac:dyDescent="0.25">
      <c r="A58" s="68" t="s">
        <v>55</v>
      </c>
      <c r="B58" s="68" t="s">
        <v>332</v>
      </c>
      <c r="C58" s="5" t="e">
        <v>#VALUE!</v>
      </c>
      <c r="D58" s="13" t="e">
        <f t="shared" si="0"/>
        <v>#N/A</v>
      </c>
      <c r="E58" s="67" t="e">
        <v>#VALUE!</v>
      </c>
      <c r="F58" s="67" t="e">
        <f t="shared" si="1"/>
        <v>#N/A</v>
      </c>
      <c r="G58" s="67" t="e">
        <f t="shared" si="2"/>
        <v>#N/A</v>
      </c>
    </row>
    <row r="59" spans="1:7" x14ac:dyDescent="0.25">
      <c r="A59" s="68" t="s">
        <v>55</v>
      </c>
      <c r="B59" s="68" t="s">
        <v>332</v>
      </c>
      <c r="C59" s="5" t="e">
        <v>#VALUE!</v>
      </c>
      <c r="D59" s="13" t="e">
        <f t="shared" si="0"/>
        <v>#N/A</v>
      </c>
      <c r="E59" s="67" t="e">
        <v>#VALUE!</v>
      </c>
      <c r="F59" s="67" t="e">
        <f t="shared" si="1"/>
        <v>#N/A</v>
      </c>
      <c r="G59" s="67" t="e">
        <f t="shared" si="2"/>
        <v>#N/A</v>
      </c>
    </row>
    <row r="60" spans="1:7" x14ac:dyDescent="0.25">
      <c r="A60" s="68" t="s">
        <v>312</v>
      </c>
      <c r="B60" s="68" t="s">
        <v>333</v>
      </c>
      <c r="C60" s="5" t="e">
        <v>#VALUE!</v>
      </c>
      <c r="D60" s="13" t="e">
        <f t="shared" si="0"/>
        <v>#N/A</v>
      </c>
      <c r="E60" s="67">
        <v>6253.3544012494867</v>
      </c>
      <c r="F60" s="67">
        <f t="shared" si="1"/>
        <v>6848.9844012494868</v>
      </c>
      <c r="G60" s="67">
        <f t="shared" si="2"/>
        <v>6848.9844012494868</v>
      </c>
    </row>
    <row r="61" spans="1:7" x14ac:dyDescent="0.25">
      <c r="A61" s="68" t="s">
        <v>313</v>
      </c>
      <c r="B61" s="68" t="s">
        <v>333</v>
      </c>
      <c r="C61" s="5" t="e">
        <v>#VALUE!</v>
      </c>
      <c r="D61" s="13" t="e">
        <f t="shared" si="0"/>
        <v>#N/A</v>
      </c>
      <c r="E61" s="67">
        <v>10005.367041999178</v>
      </c>
      <c r="F61" s="67">
        <f t="shared" si="1"/>
        <v>10600.997041999177</v>
      </c>
      <c r="G61" s="67">
        <f>F61</f>
        <v>10600.997041999177</v>
      </c>
    </row>
    <row r="62" spans="1:7" x14ac:dyDescent="0.25">
      <c r="A62" s="68" t="s">
        <v>56</v>
      </c>
      <c r="B62" s="68" t="s">
        <v>333</v>
      </c>
      <c r="C62" s="5" t="e">
        <v>#VALUE!</v>
      </c>
      <c r="D62" s="13" t="e">
        <f t="shared" si="0"/>
        <v>#N/A</v>
      </c>
      <c r="E62" s="67">
        <v>4828.8871041165403</v>
      </c>
      <c r="F62" s="67">
        <f t="shared" si="1"/>
        <v>5424.5171041165404</v>
      </c>
      <c r="G62" s="67">
        <f t="shared" si="2"/>
        <v>5424.5171041165404</v>
      </c>
    </row>
    <row r="63" spans="1:7" x14ac:dyDescent="0.25">
      <c r="A63" s="68" t="s">
        <v>314</v>
      </c>
      <c r="B63" s="68" t="s">
        <v>333</v>
      </c>
      <c r="C63" s="5" t="e">
        <v>#VALUE!</v>
      </c>
      <c r="D63" s="13" t="e">
        <f t="shared" si="0"/>
        <v>#N/A</v>
      </c>
      <c r="E63" s="67">
        <v>7726.2193665864634</v>
      </c>
      <c r="F63" s="67">
        <f t="shared" si="1"/>
        <v>8321.8493665864626</v>
      </c>
      <c r="G63" s="67">
        <f t="shared" si="2"/>
        <v>8321.8493665864626</v>
      </c>
    </row>
    <row r="64" spans="1:7" x14ac:dyDescent="0.25">
      <c r="A64" s="68" t="s">
        <v>57</v>
      </c>
      <c r="B64" s="68" t="s">
        <v>334</v>
      </c>
      <c r="C64" s="5" t="e">
        <v>#VALUE!</v>
      </c>
      <c r="D64" s="13" t="e">
        <f t="shared" si="0"/>
        <v>#N/A</v>
      </c>
      <c r="E64" s="67">
        <v>9424.8745641025653</v>
      </c>
      <c r="F64" s="67">
        <f t="shared" si="1"/>
        <v>10020.504564102564</v>
      </c>
      <c r="G64" s="67">
        <f t="shared" si="2"/>
        <v>10020.504564102564</v>
      </c>
    </row>
    <row r="65" spans="1:7" x14ac:dyDescent="0.25">
      <c r="A65" s="68" t="s">
        <v>58</v>
      </c>
      <c r="B65" s="68" t="s">
        <v>325</v>
      </c>
      <c r="C65" s="5" t="e">
        <v>#VALUE!</v>
      </c>
      <c r="D65" s="13" t="e">
        <f t="shared" si="0"/>
        <v>#N/A</v>
      </c>
      <c r="E65" s="67">
        <v>7221.9032027942822</v>
      </c>
      <c r="F65" s="67">
        <f t="shared" si="1"/>
        <v>7817.5332027942823</v>
      </c>
      <c r="G65" s="67">
        <f t="shared" si="2"/>
        <v>7817.5332027942823</v>
      </c>
    </row>
    <row r="66" spans="1:7" x14ac:dyDescent="0.25">
      <c r="A66" s="68" t="s">
        <v>59</v>
      </c>
      <c r="B66" s="68" t="s">
        <v>325</v>
      </c>
      <c r="C66" s="5" t="e">
        <v>#VALUE!</v>
      </c>
      <c r="D66" s="13" t="e">
        <f t="shared" si="0"/>
        <v>#N/A</v>
      </c>
      <c r="E66" s="67">
        <v>7221.9032027942822</v>
      </c>
      <c r="F66" s="67">
        <f t="shared" si="1"/>
        <v>7817.5332027942823</v>
      </c>
      <c r="G66" s="67">
        <f t="shared" si="2"/>
        <v>7817.5332027942823</v>
      </c>
    </row>
    <row r="67" spans="1:7" x14ac:dyDescent="0.25">
      <c r="A67" s="68" t="s">
        <v>60</v>
      </c>
      <c r="B67" s="68" t="s">
        <v>325</v>
      </c>
      <c r="C67" s="5" t="e">
        <v>#VALUE!</v>
      </c>
      <c r="D67" s="13" t="e">
        <f t="shared" si="0"/>
        <v>#N/A</v>
      </c>
      <c r="E67" s="67">
        <v>7221.9032027942822</v>
      </c>
      <c r="F67" s="67">
        <f t="shared" si="1"/>
        <v>7817.5332027942823</v>
      </c>
      <c r="G67" s="67">
        <f t="shared" si="2"/>
        <v>7817.5332027942823</v>
      </c>
    </row>
    <row r="68" spans="1:7" x14ac:dyDescent="0.25">
      <c r="A68" s="68" t="s">
        <v>61</v>
      </c>
      <c r="B68" s="68" t="s">
        <v>325</v>
      </c>
      <c r="C68" s="5" t="e">
        <v>#VALUE!</v>
      </c>
      <c r="D68" s="13" t="e">
        <f t="shared" si="0"/>
        <v>#N/A</v>
      </c>
      <c r="E68" s="67">
        <v>7221.9032027942822</v>
      </c>
      <c r="F68" s="67">
        <f t="shared" si="1"/>
        <v>7817.5332027942823</v>
      </c>
      <c r="G68" s="67">
        <f t="shared" si="2"/>
        <v>7817.5332027942823</v>
      </c>
    </row>
    <row r="69" spans="1:7" x14ac:dyDescent="0.25">
      <c r="A69" s="68" t="s">
        <v>62</v>
      </c>
      <c r="B69" s="68" t="s">
        <v>325</v>
      </c>
      <c r="C69" s="5" t="e">
        <v>#VALUE!</v>
      </c>
      <c r="D69" s="13" t="e">
        <f t="shared" si="0"/>
        <v>#N/A</v>
      </c>
      <c r="E69" s="67">
        <v>7221.9032027942822</v>
      </c>
      <c r="F69" s="67">
        <f t="shared" si="1"/>
        <v>7817.5332027942823</v>
      </c>
      <c r="G69" s="67">
        <f t="shared" si="2"/>
        <v>7817.5332027942823</v>
      </c>
    </row>
    <row r="70" spans="1:7" x14ac:dyDescent="0.25">
      <c r="A70" s="68" t="s">
        <v>63</v>
      </c>
      <c r="B70" s="68" t="s">
        <v>325</v>
      </c>
      <c r="C70" s="5" t="e">
        <v>#VALUE!</v>
      </c>
      <c r="D70" s="13" t="e">
        <f t="shared" si="0"/>
        <v>#N/A</v>
      </c>
      <c r="E70" s="67">
        <v>7221.9032027942822</v>
      </c>
      <c r="F70" s="67">
        <f t="shared" si="1"/>
        <v>7817.5332027942823</v>
      </c>
      <c r="G70" s="67">
        <f t="shared" si="2"/>
        <v>7817.5332027942823</v>
      </c>
    </row>
    <row r="71" spans="1:7" x14ac:dyDescent="0.25">
      <c r="A71" s="68" t="s">
        <v>82</v>
      </c>
      <c r="B71" s="68" t="s">
        <v>81</v>
      </c>
      <c r="C71" s="5" t="e">
        <v>#VALUE!</v>
      </c>
      <c r="D71" s="13" t="e">
        <f t="shared" si="0"/>
        <v>#N/A</v>
      </c>
      <c r="E71" s="67" t="e">
        <v>#VALUE!</v>
      </c>
      <c r="F71" s="67" t="e">
        <f t="shared" si="1"/>
        <v>#N/A</v>
      </c>
      <c r="G71" s="67" t="e">
        <f t="shared" si="2"/>
        <v>#N/A</v>
      </c>
    </row>
    <row r="72" spans="1:7" x14ac:dyDescent="0.25">
      <c r="A72" s="68" t="s">
        <v>84</v>
      </c>
      <c r="B72" s="68" t="s">
        <v>81</v>
      </c>
      <c r="C72" s="5" t="e">
        <v>#VALUE!</v>
      </c>
      <c r="D72" s="13" t="e">
        <f t="shared" si="0"/>
        <v>#N/A</v>
      </c>
      <c r="E72" s="67" t="e">
        <v>#DIV/0!</v>
      </c>
      <c r="F72" s="67" t="e">
        <f t="shared" si="1"/>
        <v>#N/A</v>
      </c>
      <c r="G72" s="67" t="e">
        <f t="shared" si="2"/>
        <v>#N/A</v>
      </c>
    </row>
    <row r="73" spans="1:7" x14ac:dyDescent="0.25">
      <c r="A73" s="68" t="s">
        <v>85</v>
      </c>
      <c r="B73" s="68" t="s">
        <v>81</v>
      </c>
      <c r="C73" s="5" t="e">
        <v>#VALUE!</v>
      </c>
      <c r="D73" s="13" t="e">
        <f t="shared" si="0"/>
        <v>#N/A</v>
      </c>
      <c r="E73" s="67">
        <v>11395.633932255643</v>
      </c>
      <c r="F73" s="67">
        <f t="shared" si="1"/>
        <v>11991.263932255642</v>
      </c>
      <c r="G73" s="67">
        <f t="shared" si="2"/>
        <v>11991.263932255642</v>
      </c>
    </row>
    <row r="74" spans="1:7" x14ac:dyDescent="0.25">
      <c r="A74" s="68" t="s">
        <v>86</v>
      </c>
      <c r="B74" s="68" t="s">
        <v>81</v>
      </c>
      <c r="C74" s="5" t="e">
        <v>#VALUE!</v>
      </c>
      <c r="D74" s="13" t="e">
        <f t="shared" ref="D74:D89" si="3">IF(ISNUMBER(C74+SUM($B$3:$B$4)),C74+SUM($B$3:$B$4),NA())</f>
        <v>#N/A</v>
      </c>
      <c r="E74" s="67">
        <v>11395.633932255643</v>
      </c>
      <c r="F74" s="67">
        <f t="shared" ref="F74:F89" si="4">IF(ISNUMBER(E74+$B$5),E74+$B$5,NA())</f>
        <v>11991.263932255642</v>
      </c>
      <c r="G74" s="67">
        <f t="shared" ref="G74:G89" si="5">F74</f>
        <v>11991.263932255642</v>
      </c>
    </row>
    <row r="75" spans="1:7" x14ac:dyDescent="0.25">
      <c r="A75" s="68" t="s">
        <v>102</v>
      </c>
      <c r="B75" s="68" t="s">
        <v>95</v>
      </c>
      <c r="C75" s="5" t="e">
        <v>#VALUE!</v>
      </c>
      <c r="D75" s="13" t="e">
        <f t="shared" si="3"/>
        <v>#N/A</v>
      </c>
      <c r="E75" s="67" t="e">
        <v>#DIV/0!</v>
      </c>
      <c r="F75" s="67" t="e">
        <f t="shared" si="4"/>
        <v>#N/A</v>
      </c>
      <c r="G75" s="67" t="e">
        <f t="shared" si="5"/>
        <v>#N/A</v>
      </c>
    </row>
    <row r="76" spans="1:7" x14ac:dyDescent="0.25">
      <c r="A76" s="68" t="s">
        <v>103</v>
      </c>
      <c r="B76" s="68" t="s">
        <v>95</v>
      </c>
      <c r="C76" s="5" t="e">
        <v>#VALUE!</v>
      </c>
      <c r="D76" s="13" t="e">
        <f t="shared" si="3"/>
        <v>#N/A</v>
      </c>
      <c r="E76" s="67" t="e">
        <v>#DIV/0!</v>
      </c>
      <c r="F76" s="67" t="e">
        <f t="shared" si="4"/>
        <v>#N/A</v>
      </c>
      <c r="G76" s="67" t="e">
        <f t="shared" si="5"/>
        <v>#N/A</v>
      </c>
    </row>
    <row r="77" spans="1:7" x14ac:dyDescent="0.25">
      <c r="A77" s="68" t="s">
        <v>106</v>
      </c>
      <c r="B77" s="68" t="s">
        <v>95</v>
      </c>
      <c r="C77" s="5" t="e">
        <v>#VALUE!</v>
      </c>
      <c r="D77" s="13" t="e">
        <f t="shared" si="3"/>
        <v>#N/A</v>
      </c>
      <c r="E77" s="67" t="e">
        <v>#DIV/0!</v>
      </c>
      <c r="F77" s="67" t="e">
        <f t="shared" si="4"/>
        <v>#N/A</v>
      </c>
      <c r="G77" s="67" t="e">
        <f t="shared" si="5"/>
        <v>#N/A</v>
      </c>
    </row>
    <row r="78" spans="1:7" x14ac:dyDescent="0.25">
      <c r="A78" s="68" t="s">
        <v>136</v>
      </c>
      <c r="B78" s="68" t="s">
        <v>326</v>
      </c>
      <c r="C78" s="5" t="e">
        <v>#VALUE!</v>
      </c>
      <c r="D78" s="13" t="e">
        <f t="shared" si="3"/>
        <v>#N/A</v>
      </c>
      <c r="E78" s="67">
        <v>3017.4881205187394</v>
      </c>
      <c r="F78" s="67">
        <f t="shared" si="4"/>
        <v>3613.1181205187395</v>
      </c>
      <c r="G78" s="70" t="e">
        <v>#N/A</v>
      </c>
    </row>
    <row r="79" spans="1:7" x14ac:dyDescent="0.25">
      <c r="A79" s="68" t="s">
        <v>138</v>
      </c>
      <c r="B79" s="68" t="s">
        <v>326</v>
      </c>
      <c r="C79" s="5" t="e">
        <v>#VALUE!</v>
      </c>
      <c r="D79" s="13" t="e">
        <f t="shared" si="3"/>
        <v>#N/A</v>
      </c>
      <c r="E79" s="67">
        <v>3017.4881205187394</v>
      </c>
      <c r="F79" s="67">
        <f t="shared" si="4"/>
        <v>3613.1181205187395</v>
      </c>
      <c r="G79" s="67">
        <f t="shared" si="5"/>
        <v>3613.1181205187395</v>
      </c>
    </row>
    <row r="80" spans="1:7" x14ac:dyDescent="0.25">
      <c r="A80" s="68" t="s">
        <v>162</v>
      </c>
      <c r="B80" s="68" t="s">
        <v>327</v>
      </c>
      <c r="C80" s="5" t="e">
        <v>#VALUE!</v>
      </c>
      <c r="D80" s="13" t="e">
        <f t="shared" si="3"/>
        <v>#N/A</v>
      </c>
      <c r="E80" s="67" t="e">
        <v>#DIV/0!</v>
      </c>
      <c r="F80" s="67" t="e">
        <f t="shared" si="4"/>
        <v>#N/A</v>
      </c>
      <c r="G80" s="67" t="e">
        <f t="shared" si="5"/>
        <v>#N/A</v>
      </c>
    </row>
    <row r="81" spans="1:7" x14ac:dyDescent="0.25">
      <c r="A81" s="68" t="s">
        <v>165</v>
      </c>
      <c r="B81" s="68" t="s">
        <v>327</v>
      </c>
      <c r="C81" s="5" t="e">
        <v>#VALUE!</v>
      </c>
      <c r="D81" s="13" t="e">
        <f t="shared" si="3"/>
        <v>#N/A</v>
      </c>
      <c r="E81" s="67" t="e">
        <v>#DIV/0!</v>
      </c>
      <c r="F81" s="67" t="e">
        <f t="shared" si="4"/>
        <v>#N/A</v>
      </c>
      <c r="G81" s="67" t="e">
        <f t="shared" si="5"/>
        <v>#N/A</v>
      </c>
    </row>
    <row r="82" spans="1:7" x14ac:dyDescent="0.25">
      <c r="A82" s="68" t="s">
        <v>166</v>
      </c>
      <c r="B82" s="68" t="s">
        <v>327</v>
      </c>
      <c r="C82" s="5" t="e">
        <v>#VALUE!</v>
      </c>
      <c r="D82" s="13" t="e">
        <f t="shared" si="3"/>
        <v>#N/A</v>
      </c>
      <c r="E82" s="67" t="e">
        <v>#DIV/0!</v>
      </c>
      <c r="F82" s="67" t="e">
        <f t="shared" si="4"/>
        <v>#N/A</v>
      </c>
      <c r="G82" s="67" t="e">
        <f t="shared" si="5"/>
        <v>#N/A</v>
      </c>
    </row>
    <row r="83" spans="1:7" x14ac:dyDescent="0.25">
      <c r="A83" s="68" t="s">
        <v>168</v>
      </c>
      <c r="B83" s="68" t="s">
        <v>327</v>
      </c>
      <c r="C83" s="5" t="e">
        <v>#VALUE!</v>
      </c>
      <c r="D83" s="13" t="e">
        <f t="shared" si="3"/>
        <v>#N/A</v>
      </c>
      <c r="E83" s="67" t="e">
        <v>#DIV/0!</v>
      </c>
      <c r="F83" s="67" t="e">
        <f t="shared" si="4"/>
        <v>#N/A</v>
      </c>
      <c r="G83" s="67" t="e">
        <f t="shared" si="5"/>
        <v>#N/A</v>
      </c>
    </row>
    <row r="84" spans="1:7" x14ac:dyDescent="0.25">
      <c r="A84" s="68" t="s">
        <v>169</v>
      </c>
      <c r="B84" s="68" t="s">
        <v>327</v>
      </c>
      <c r="C84" s="5" t="e">
        <v>#VALUE!</v>
      </c>
      <c r="D84" s="13" t="e">
        <f t="shared" si="3"/>
        <v>#N/A</v>
      </c>
      <c r="E84" s="67" t="e">
        <v>#DIV/0!</v>
      </c>
      <c r="F84" s="67" t="e">
        <f t="shared" si="4"/>
        <v>#N/A</v>
      </c>
      <c r="G84" s="67" t="e">
        <f t="shared" si="5"/>
        <v>#N/A</v>
      </c>
    </row>
    <row r="85" spans="1:7" x14ac:dyDescent="0.25">
      <c r="A85" s="68" t="s">
        <v>170</v>
      </c>
      <c r="B85" s="68" t="s">
        <v>327</v>
      </c>
      <c r="C85" s="5" t="e">
        <v>#VALUE!</v>
      </c>
      <c r="D85" s="13" t="e">
        <f t="shared" si="3"/>
        <v>#N/A</v>
      </c>
      <c r="E85" s="67" t="e">
        <v>#DIV/0!</v>
      </c>
      <c r="F85" s="67" t="e">
        <f t="shared" si="4"/>
        <v>#N/A</v>
      </c>
      <c r="G85" s="67" t="e">
        <f t="shared" si="5"/>
        <v>#N/A</v>
      </c>
    </row>
    <row r="86" spans="1:7" x14ac:dyDescent="0.25">
      <c r="A86" s="68" t="s">
        <v>171</v>
      </c>
      <c r="B86" s="68" t="s">
        <v>327</v>
      </c>
      <c r="C86" s="5" t="e">
        <v>#VALUE!</v>
      </c>
      <c r="D86" s="13" t="e">
        <f t="shared" si="3"/>
        <v>#N/A</v>
      </c>
      <c r="E86" s="67" t="e">
        <v>#DIV/0!</v>
      </c>
      <c r="F86" s="67" t="e">
        <f t="shared" si="4"/>
        <v>#N/A</v>
      </c>
      <c r="G86" s="67" t="e">
        <f t="shared" si="5"/>
        <v>#N/A</v>
      </c>
    </row>
    <row r="87" spans="1:7" x14ac:dyDescent="0.25">
      <c r="A87" s="68" t="s">
        <v>172</v>
      </c>
      <c r="B87" s="68" t="s">
        <v>327</v>
      </c>
      <c r="C87" s="5" t="e">
        <v>#VALUE!</v>
      </c>
      <c r="D87" s="13" t="e">
        <f t="shared" si="3"/>
        <v>#N/A</v>
      </c>
      <c r="E87" s="67" t="e">
        <v>#DIV/0!</v>
      </c>
      <c r="F87" s="67" t="e">
        <f t="shared" si="4"/>
        <v>#N/A</v>
      </c>
      <c r="G87" s="67" t="e">
        <f t="shared" si="5"/>
        <v>#N/A</v>
      </c>
    </row>
    <row r="88" spans="1:7" x14ac:dyDescent="0.25">
      <c r="A88" s="68" t="s">
        <v>173</v>
      </c>
      <c r="B88" s="68" t="s">
        <v>327</v>
      </c>
      <c r="C88" s="5" t="e">
        <v>#VALUE!</v>
      </c>
      <c r="D88" s="13" t="e">
        <f t="shared" si="3"/>
        <v>#N/A</v>
      </c>
      <c r="E88" s="67" t="e">
        <v>#DIV/0!</v>
      </c>
      <c r="F88" s="67" t="e">
        <f t="shared" si="4"/>
        <v>#N/A</v>
      </c>
      <c r="G88" s="67" t="e">
        <f t="shared" si="5"/>
        <v>#N/A</v>
      </c>
    </row>
    <row r="89" spans="1:7" x14ac:dyDescent="0.25">
      <c r="A89" s="68" t="s">
        <v>176</v>
      </c>
      <c r="B89" s="68" t="s">
        <v>327</v>
      </c>
      <c r="C89" s="5" t="e">
        <v>#VALUE!</v>
      </c>
      <c r="D89" s="13" t="e">
        <f t="shared" si="3"/>
        <v>#N/A</v>
      </c>
      <c r="E89" s="67" t="e">
        <v>#DIV/0!</v>
      </c>
      <c r="F89" s="67" t="e">
        <f t="shared" si="4"/>
        <v>#N/A</v>
      </c>
      <c r="G89" s="67" t="e">
        <f t="shared" si="5"/>
        <v>#N/A</v>
      </c>
    </row>
    <row r="93" spans="1:7" x14ac:dyDescent="0.25">
      <c r="D93" s="2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D9AF-B42F-4494-B693-6348BFD2117D}">
  <sheetPr codeName="Sheet7"/>
  <dimension ref="A1:H10"/>
  <sheetViews>
    <sheetView zoomScale="70" zoomScaleNormal="70" workbookViewId="0">
      <selection activeCell="G21" sqref="G21"/>
    </sheetView>
  </sheetViews>
  <sheetFormatPr defaultRowHeight="15" x14ac:dyDescent="0.25"/>
  <cols>
    <col min="1" max="1" width="12.5703125" customWidth="1"/>
    <col min="2" max="3" width="12.7109375" customWidth="1"/>
    <col min="5" max="5" width="18.7109375" bestFit="1" customWidth="1"/>
    <col min="6" max="7" width="11.7109375" customWidth="1"/>
  </cols>
  <sheetData>
    <row r="1" spans="1:8" ht="14.25" customHeight="1" x14ac:dyDescent="0.25">
      <c r="A1" s="92" t="s">
        <v>6</v>
      </c>
      <c r="B1" s="93" t="s">
        <v>7</v>
      </c>
      <c r="C1" s="93" t="s">
        <v>8</v>
      </c>
      <c r="D1" s="93" t="s">
        <v>3</v>
      </c>
      <c r="E1" s="93" t="s">
        <v>4</v>
      </c>
      <c r="F1" s="93" t="s">
        <v>5</v>
      </c>
      <c r="G1" s="89"/>
    </row>
    <row r="2" spans="1:8" x14ac:dyDescent="0.25">
      <c r="A2" s="105" t="s">
        <v>406</v>
      </c>
      <c r="B2" s="106">
        <v>0</v>
      </c>
      <c r="C2" s="73"/>
      <c r="D2" s="107">
        <v>0</v>
      </c>
      <c r="E2" s="107">
        <v>0</v>
      </c>
      <c r="F2" s="107">
        <v>0</v>
      </c>
      <c r="H2" s="89"/>
    </row>
    <row r="3" spans="1:8" x14ac:dyDescent="0.25">
      <c r="A3" s="15" t="s">
        <v>405</v>
      </c>
      <c r="B3" s="14">
        <v>0.25</v>
      </c>
      <c r="C3" s="5"/>
      <c r="D3" s="7">
        <v>1.4E-2</v>
      </c>
      <c r="E3" s="7">
        <v>0.10486438487390015</v>
      </c>
      <c r="F3" s="7">
        <v>0.20531985294117638</v>
      </c>
      <c r="G3" s="211" t="s">
        <v>410</v>
      </c>
      <c r="H3" s="89"/>
    </row>
    <row r="4" spans="1:8" x14ac:dyDescent="0.25">
      <c r="A4" s="16" t="s">
        <v>407</v>
      </c>
      <c r="B4" s="14">
        <v>0.25</v>
      </c>
      <c r="C4" s="9">
        <v>18</v>
      </c>
      <c r="D4" s="7">
        <v>-6.2745098039215241E-3</v>
      </c>
      <c r="E4" s="7">
        <v>1.6431047866424686E-2</v>
      </c>
      <c r="F4" s="7">
        <v>4.1470588235294148E-2</v>
      </c>
      <c r="G4" s="211"/>
      <c r="H4" s="89"/>
    </row>
    <row r="5" spans="1:8" x14ac:dyDescent="0.25">
      <c r="A5" s="16" t="s">
        <v>408</v>
      </c>
      <c r="B5" s="14">
        <v>0.15</v>
      </c>
      <c r="C5" s="9">
        <v>20</v>
      </c>
      <c r="D5" s="7">
        <v>-1.458823529411768E-2</v>
      </c>
      <c r="E5" s="7">
        <v>2.3706842081894441E-2</v>
      </c>
      <c r="F5" s="7">
        <v>5.9774509803921516E-2</v>
      </c>
      <c r="G5" s="211"/>
      <c r="H5" s="89"/>
    </row>
    <row r="6" spans="1:8" x14ac:dyDescent="0.25">
      <c r="A6" s="16" t="s">
        <v>409</v>
      </c>
      <c r="B6" s="14">
        <v>0.35</v>
      </c>
      <c r="C6" s="9">
        <v>50</v>
      </c>
      <c r="D6" s="7">
        <v>-9.9215686274510828E-3</v>
      </c>
      <c r="E6" s="7">
        <v>2.0588235294117574E-2</v>
      </c>
      <c r="F6" s="7">
        <v>3.2254901960784288E-2</v>
      </c>
      <c r="G6" s="211"/>
      <c r="H6" s="192"/>
    </row>
    <row r="7" spans="1:8" x14ac:dyDescent="0.25">
      <c r="A7" s="108" t="s">
        <v>402</v>
      </c>
      <c r="B7" s="106">
        <v>0</v>
      </c>
      <c r="C7" s="109"/>
      <c r="D7" s="107">
        <v>0</v>
      </c>
      <c r="E7" s="107">
        <v>0</v>
      </c>
      <c r="F7" s="107">
        <v>0</v>
      </c>
      <c r="G7" s="212" t="s">
        <v>411</v>
      </c>
      <c r="H7" s="192"/>
    </row>
    <row r="8" spans="1:8" x14ac:dyDescent="0.25">
      <c r="A8" s="108" t="s">
        <v>9</v>
      </c>
      <c r="B8" s="106">
        <v>0</v>
      </c>
      <c r="C8" s="109"/>
      <c r="D8" s="107">
        <v>0</v>
      </c>
      <c r="E8" s="107">
        <v>0</v>
      </c>
      <c r="F8" s="107">
        <v>0</v>
      </c>
      <c r="G8" s="212"/>
      <c r="H8" s="192"/>
    </row>
    <row r="9" spans="1:8" x14ac:dyDescent="0.25">
      <c r="A9" s="108" t="s">
        <v>10</v>
      </c>
      <c r="B9" s="106">
        <v>0</v>
      </c>
      <c r="C9" s="109"/>
      <c r="D9" s="107">
        <v>0</v>
      </c>
      <c r="E9" s="107">
        <v>0</v>
      </c>
      <c r="F9" s="107">
        <v>0</v>
      </c>
      <c r="G9" s="212"/>
      <c r="H9" s="192"/>
    </row>
    <row r="10" spans="1:8" x14ac:dyDescent="0.25">
      <c r="A10" s="94" t="s">
        <v>412</v>
      </c>
      <c r="B10" s="95">
        <v>8.0000000000000002E-3</v>
      </c>
      <c r="C10" s="89"/>
    </row>
  </sheetData>
  <mergeCells count="2">
    <mergeCell ref="G3:G6"/>
    <mergeCell ref="G7:G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86EE5-7473-4214-826E-B02BBE0945FA}">
  <sheetPr codeName="Sheet8"/>
  <dimension ref="A1:B4"/>
  <sheetViews>
    <sheetView zoomScale="85" zoomScaleNormal="85" workbookViewId="0">
      <selection activeCell="B4" sqref="B4"/>
    </sheetView>
  </sheetViews>
  <sheetFormatPr defaultRowHeight="15" x14ac:dyDescent="0.25"/>
  <cols>
    <col min="1" max="1" width="37" bestFit="1" customWidth="1"/>
    <col min="3" max="3" width="52.140625" customWidth="1"/>
    <col min="4" max="5" width="11.7109375" customWidth="1"/>
  </cols>
  <sheetData>
    <row r="1" spans="1:2" x14ac:dyDescent="0.25">
      <c r="A1" t="s">
        <v>14</v>
      </c>
    </row>
    <row r="2" spans="1:2" x14ac:dyDescent="0.25">
      <c r="A2" t="s">
        <v>355</v>
      </c>
    </row>
    <row r="3" spans="1:2" x14ac:dyDescent="0.25">
      <c r="A3" s="11" t="s">
        <v>354</v>
      </c>
      <c r="B3" s="11">
        <v>629.5</v>
      </c>
    </row>
    <row r="4" spans="1:2" x14ac:dyDescent="0.25">
      <c r="A4" s="5" t="s">
        <v>353</v>
      </c>
      <c r="B4" s="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ED28-2543-4E47-8E53-797881D80289}">
  <dimension ref="A1:P28"/>
  <sheetViews>
    <sheetView zoomScale="55" zoomScaleNormal="55" workbookViewId="0">
      <selection activeCell="G41" sqref="G41"/>
    </sheetView>
  </sheetViews>
  <sheetFormatPr defaultRowHeight="15" x14ac:dyDescent="0.25"/>
  <cols>
    <col min="1" max="1" width="37.140625" style="144" customWidth="1"/>
    <col min="2" max="4" width="12.7109375" style="47" customWidth="1"/>
    <col min="5" max="5" width="14.140625" style="47" customWidth="1"/>
    <col min="6" max="6" width="9.140625" style="42"/>
    <col min="7" max="7" width="14.5703125" style="42" customWidth="1"/>
    <col min="8" max="8" width="47" style="42" bestFit="1" customWidth="1"/>
    <col min="9" max="11" width="9.140625" style="42"/>
    <col min="12" max="12" width="27.5703125" style="42" bestFit="1" customWidth="1"/>
    <col min="13" max="13" width="16.140625" style="42" customWidth="1"/>
    <col min="14" max="15" width="9.140625" style="42"/>
    <col min="16" max="16" width="9.140625" style="96"/>
    <col min="17" max="17" width="9.28515625" style="42" customWidth="1"/>
    <col min="18" max="16384" width="9.140625" style="42"/>
  </cols>
  <sheetData>
    <row r="1" spans="1:16" ht="18.75" customHeight="1" x14ac:dyDescent="0.25">
      <c r="A1" s="114"/>
      <c r="B1" s="78"/>
      <c r="C1" s="78"/>
      <c r="D1" s="78"/>
      <c r="E1" s="78"/>
      <c r="H1" s="42" t="s">
        <v>337</v>
      </c>
      <c r="L1" s="42" t="s">
        <v>342</v>
      </c>
      <c r="M1" s="42">
        <v>175</v>
      </c>
      <c r="N1" s="42" t="s">
        <v>343</v>
      </c>
      <c r="P1" s="115" t="s">
        <v>22</v>
      </c>
    </row>
    <row r="2" spans="1:16" ht="15.75" customHeight="1" x14ac:dyDescent="0.25">
      <c r="A2" s="114"/>
      <c r="B2" s="116"/>
      <c r="C2" s="78"/>
      <c r="D2" s="78"/>
      <c r="E2" s="78"/>
      <c r="H2" s="42" t="s">
        <v>336</v>
      </c>
      <c r="I2" s="117">
        <v>26.09</v>
      </c>
      <c r="M2" s="118">
        <f>M1*(1000*M10)</f>
        <v>218750000</v>
      </c>
      <c r="N2" s="42" t="s">
        <v>344</v>
      </c>
    </row>
    <row r="3" spans="1:16" ht="17.25" customHeight="1" x14ac:dyDescent="0.25">
      <c r="A3" s="114"/>
      <c r="B3" s="116"/>
      <c r="D3" s="78"/>
      <c r="E3" s="78"/>
      <c r="H3" s="42" t="s">
        <v>423</v>
      </c>
      <c r="I3" s="117">
        <v>17.010000000000002</v>
      </c>
      <c r="M3" s="118">
        <f>M10*M9*8760</f>
        <v>9891500</v>
      </c>
      <c r="N3" s="42" t="s">
        <v>345</v>
      </c>
    </row>
    <row r="4" spans="1:16" ht="18.75" customHeight="1" x14ac:dyDescent="0.25">
      <c r="A4" s="114"/>
      <c r="B4" s="78"/>
      <c r="C4" s="78"/>
      <c r="D4" s="78"/>
      <c r="E4" s="78"/>
      <c r="H4" s="42" t="s">
        <v>339</v>
      </c>
      <c r="I4" s="117">
        <f>I3*0.25+I2*0.75</f>
        <v>23.82</v>
      </c>
      <c r="J4" s="42" t="s">
        <v>338</v>
      </c>
      <c r="M4" s="118">
        <f>M2/M3</f>
        <v>22.11494717686903</v>
      </c>
      <c r="N4" s="42" t="s">
        <v>346</v>
      </c>
    </row>
    <row r="5" spans="1:16" x14ac:dyDescent="0.25">
      <c r="A5" s="114" t="s">
        <v>368</v>
      </c>
      <c r="B5" s="116">
        <f>I8</f>
        <v>155.99591572115952</v>
      </c>
      <c r="C5" s="78" t="s">
        <v>19</v>
      </c>
      <c r="D5" s="78" t="s">
        <v>21</v>
      </c>
      <c r="E5" s="78" t="s">
        <v>20</v>
      </c>
      <c r="F5" s="119" t="s">
        <v>444</v>
      </c>
      <c r="H5" s="42" t="s">
        <v>340</v>
      </c>
      <c r="I5" s="145">
        <v>22.685714285714283</v>
      </c>
      <c r="M5" s="118">
        <v>2.8</v>
      </c>
      <c r="N5" s="42" t="s">
        <v>347</v>
      </c>
    </row>
    <row r="6" spans="1:16" x14ac:dyDescent="0.25">
      <c r="A6" s="114" t="s">
        <v>15</v>
      </c>
      <c r="B6" s="120">
        <f>C6*B8</f>
        <v>73.409842692310363</v>
      </c>
      <c r="C6" s="121">
        <v>0.3</v>
      </c>
      <c r="D6" s="116">
        <f>C6*D8</f>
        <v>73.409842692310363</v>
      </c>
      <c r="E6" s="116">
        <f>AVERAGE(D6:D9)</f>
        <v>155.99591572115952</v>
      </c>
      <c r="H6" s="42" t="s">
        <v>341</v>
      </c>
      <c r="I6" s="145">
        <v>22.209314285714299</v>
      </c>
      <c r="M6" s="122">
        <f>M4/SUM(M4:M5)</f>
        <v>0.88761766259735386</v>
      </c>
      <c r="N6" s="42" t="s">
        <v>348</v>
      </c>
    </row>
    <row r="7" spans="1:16" x14ac:dyDescent="0.25">
      <c r="A7" s="114" t="s">
        <v>16</v>
      </c>
      <c r="B7" s="120">
        <f>B8*C7</f>
        <v>183.52460673077593</v>
      </c>
      <c r="C7" s="121">
        <v>0.75</v>
      </c>
      <c r="D7" s="116">
        <f>C7*D8</f>
        <v>183.52460673077593</v>
      </c>
      <c r="E7" s="78"/>
      <c r="H7" s="42" t="s">
        <v>352</v>
      </c>
      <c r="I7" s="117">
        <f>I6*M6</f>
        <v>19.713379634175745</v>
      </c>
      <c r="M7" s="122">
        <f>M5/SUM(M4:M5)</f>
        <v>0.11238233740264608</v>
      </c>
      <c r="N7" s="42" t="s">
        <v>349</v>
      </c>
    </row>
    <row r="8" spans="1:16" x14ac:dyDescent="0.25">
      <c r="A8" s="114" t="s">
        <v>17</v>
      </c>
      <c r="B8" s="120">
        <f>B5/(SUM(C6:C9))*4</f>
        <v>244.69947564103455</v>
      </c>
      <c r="C8" s="121">
        <v>1</v>
      </c>
      <c r="D8" s="116">
        <f>B8</f>
        <v>244.69947564103455</v>
      </c>
      <c r="E8" s="78"/>
      <c r="H8" s="42" t="s">
        <v>350</v>
      </c>
      <c r="I8" s="117">
        <f>I7*M3/(M10*1000)</f>
        <v>155.99591572115952</v>
      </c>
    </row>
    <row r="9" spans="1:16" x14ac:dyDescent="0.25">
      <c r="A9" s="114" t="s">
        <v>18</v>
      </c>
      <c r="B9" s="120">
        <f>B8*C9</f>
        <v>122.34973782051728</v>
      </c>
      <c r="C9" s="121">
        <v>0.5</v>
      </c>
      <c r="D9" s="116">
        <f>C9*D8</f>
        <v>122.34973782051728</v>
      </c>
      <c r="E9" s="78"/>
      <c r="H9" s="42" t="s">
        <v>351</v>
      </c>
      <c r="I9" s="117">
        <f>I6*M7</f>
        <v>2.4959346515385521</v>
      </c>
      <c r="M9" s="194">
        <f>'Capacity factor'!$B$5</f>
        <v>0.90333333333333332</v>
      </c>
      <c r="N9" s="42" t="s">
        <v>424</v>
      </c>
    </row>
    <row r="10" spans="1:16" x14ac:dyDescent="0.25">
      <c r="A10" s="114"/>
      <c r="B10" s="78"/>
      <c r="C10" s="121"/>
      <c r="D10" s="116"/>
      <c r="E10" s="78"/>
      <c r="H10" s="42" t="s">
        <v>421</v>
      </c>
      <c r="I10" s="117">
        <v>205.70175438596493</v>
      </c>
      <c r="M10" s="195">
        <f>'Inštalirana kapaciteta'!B2</f>
        <v>1250</v>
      </c>
      <c r="N10" s="42" t="s">
        <v>425</v>
      </c>
    </row>
    <row r="11" spans="1:16" x14ac:dyDescent="0.25">
      <c r="A11" s="123" t="s">
        <v>426</v>
      </c>
      <c r="B11" s="124">
        <f>I11</f>
        <v>239.78947368421058</v>
      </c>
      <c r="C11" s="124">
        <f>I10</f>
        <v>205.70175438596493</v>
      </c>
      <c r="D11" s="125">
        <f>B11/C11</f>
        <v>1.1657142857142859</v>
      </c>
      <c r="E11" s="126" t="s">
        <v>5</v>
      </c>
      <c r="H11" s="42" t="s">
        <v>422</v>
      </c>
      <c r="I11" s="117">
        <v>239.78947368421058</v>
      </c>
    </row>
    <row r="12" spans="1:16" x14ac:dyDescent="0.25">
      <c r="A12" s="123" t="s">
        <v>427</v>
      </c>
      <c r="B12" s="124">
        <f>I10</f>
        <v>205.70175438596493</v>
      </c>
      <c r="C12" s="124">
        <f>I12</f>
        <v>148.10526315789477</v>
      </c>
      <c r="D12" s="125">
        <f>C12/B12</f>
        <v>0.72000000000000008</v>
      </c>
      <c r="E12" s="126" t="s">
        <v>3</v>
      </c>
      <c r="H12" s="42" t="s">
        <v>420</v>
      </c>
      <c r="I12" s="117">
        <v>148.10526315789477</v>
      </c>
    </row>
    <row r="13" spans="1:16" x14ac:dyDescent="0.25">
      <c r="A13" s="114"/>
      <c r="B13" s="78"/>
      <c r="C13" s="127"/>
      <c r="D13" s="128"/>
      <c r="E13" s="78"/>
      <c r="K13" s="96"/>
    </row>
    <row r="14" spans="1:16" x14ac:dyDescent="0.25">
      <c r="A14" s="129"/>
      <c r="B14" s="130"/>
      <c r="C14" s="127"/>
      <c r="D14" s="128"/>
      <c r="E14" s="78"/>
      <c r="K14" s="96"/>
    </row>
    <row r="15" spans="1:16" x14ac:dyDescent="0.25">
      <c r="A15" s="129"/>
      <c r="B15" s="130"/>
      <c r="C15" s="127"/>
      <c r="D15" s="128"/>
      <c r="E15" s="78"/>
      <c r="K15" s="96"/>
    </row>
    <row r="16" spans="1:16" x14ac:dyDescent="0.25">
      <c r="A16" s="129" t="s">
        <v>369</v>
      </c>
      <c r="B16" s="130">
        <f>I9</f>
        <v>2.4959346515385521</v>
      </c>
      <c r="C16" s="127"/>
      <c r="D16" s="128"/>
      <c r="E16" s="78"/>
      <c r="K16" s="96"/>
    </row>
    <row r="17" spans="1:11" x14ac:dyDescent="0.25">
      <c r="A17" s="129"/>
      <c r="B17" s="130"/>
      <c r="C17" s="131"/>
      <c r="D17" s="128"/>
      <c r="E17" s="78"/>
      <c r="K17" s="96"/>
    </row>
    <row r="18" spans="1:11" x14ac:dyDescent="0.25">
      <c r="A18" s="132" t="s">
        <v>363</v>
      </c>
      <c r="B18" s="133" t="s">
        <v>3</v>
      </c>
      <c r="C18" s="134" t="s">
        <v>362</v>
      </c>
      <c r="D18" s="135" t="s">
        <v>5</v>
      </c>
      <c r="E18" s="78"/>
    </row>
    <row r="19" spans="1:11" x14ac:dyDescent="0.25">
      <c r="A19" s="136" t="s">
        <v>364</v>
      </c>
      <c r="B19" s="137">
        <f>$D$12*C19</f>
        <v>52.85508673846347</v>
      </c>
      <c r="C19" s="137">
        <f>B6</f>
        <v>73.409842692310363</v>
      </c>
      <c r="D19" s="137">
        <f>$D$11*C19</f>
        <v>85.574902338464668</v>
      </c>
      <c r="E19" s="138"/>
      <c r="F19" s="122"/>
    </row>
    <row r="20" spans="1:11" x14ac:dyDescent="0.25">
      <c r="A20" s="136" t="s">
        <v>365</v>
      </c>
      <c r="B20" s="137">
        <f>$D$12*C20</f>
        <v>132.1377168461587</v>
      </c>
      <c r="C20" s="137">
        <f>B7</f>
        <v>183.52460673077593</v>
      </c>
      <c r="D20" s="137">
        <f>$D$11*C20</f>
        <v>213.93725584616169</v>
      </c>
      <c r="E20" s="78"/>
    </row>
    <row r="21" spans="1:11" x14ac:dyDescent="0.25">
      <c r="A21" s="136" t="s">
        <v>366</v>
      </c>
      <c r="B21" s="137">
        <f>$D$12*C21</f>
        <v>176.1836224615449</v>
      </c>
      <c r="C21" s="137">
        <f>B8</f>
        <v>244.69947564103455</v>
      </c>
      <c r="D21" s="137">
        <f>$D$11*C21</f>
        <v>285.24967446154892</v>
      </c>
      <c r="E21" s="78"/>
    </row>
    <row r="22" spans="1:11" x14ac:dyDescent="0.25">
      <c r="A22" s="136" t="s">
        <v>367</v>
      </c>
      <c r="B22" s="137">
        <f>$D$12*C22</f>
        <v>88.09181123077245</v>
      </c>
      <c r="C22" s="137">
        <f>B9</f>
        <v>122.34973782051728</v>
      </c>
      <c r="D22" s="137">
        <f>$D$11*C22</f>
        <v>142.62483723077446</v>
      </c>
      <c r="E22" s="78"/>
    </row>
    <row r="23" spans="1:11" x14ac:dyDescent="0.25">
      <c r="A23" s="139" t="s">
        <v>2</v>
      </c>
      <c r="B23" s="140">
        <v>5.0000000000000001E-3</v>
      </c>
      <c r="C23" s="141"/>
      <c r="D23" s="141"/>
      <c r="E23" s="78"/>
    </row>
    <row r="24" spans="1:11" x14ac:dyDescent="0.25">
      <c r="A24" s="139" t="str">
        <f>A16</f>
        <v>Variabilni O&amp;M stroški [EUR/MWh]</v>
      </c>
      <c r="B24" s="142">
        <f>C24*D12</f>
        <v>1.7970729491077577</v>
      </c>
      <c r="C24" s="142">
        <f>B16</f>
        <v>2.4959346515385521</v>
      </c>
      <c r="D24" s="142">
        <f>C24*D11</f>
        <v>2.9095466795077982</v>
      </c>
      <c r="E24" s="78"/>
    </row>
    <row r="25" spans="1:11" x14ac:dyDescent="0.25">
      <c r="A25" s="143" t="s">
        <v>286</v>
      </c>
      <c r="B25" s="140">
        <v>0.55000000000000004</v>
      </c>
      <c r="C25" s="141"/>
      <c r="D25" s="141"/>
    </row>
    <row r="26" spans="1:11" x14ac:dyDescent="0.25">
      <c r="A26" s="143" t="s">
        <v>287</v>
      </c>
      <c r="B26" s="140">
        <f>1-B25</f>
        <v>0.44999999999999996</v>
      </c>
      <c r="C26" s="141"/>
      <c r="D26" s="141"/>
    </row>
    <row r="27" spans="1:11" ht="40.5" customHeight="1" x14ac:dyDescent="0.25">
      <c r="A27" s="143" t="s">
        <v>288</v>
      </c>
      <c r="B27" s="140">
        <v>0</v>
      </c>
      <c r="C27" s="111" t="s">
        <v>357</v>
      </c>
    </row>
    <row r="28" spans="1:11" x14ac:dyDescent="0.25">
      <c r="A28" s="143" t="s">
        <v>289</v>
      </c>
      <c r="B28" s="142">
        <f>$B$5</f>
        <v>155.99591572115952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E641-D949-453C-AFF2-39272BA83119}">
  <sheetPr codeName="Sheet10"/>
  <dimension ref="A1:C6"/>
  <sheetViews>
    <sheetView zoomScaleNormal="100" workbookViewId="0">
      <selection activeCell="A18" sqref="A18"/>
    </sheetView>
  </sheetViews>
  <sheetFormatPr defaultRowHeight="15" x14ac:dyDescent="0.25"/>
  <cols>
    <col min="1" max="1" width="57" bestFit="1" customWidth="1"/>
    <col min="2" max="4" width="10.7109375" customWidth="1"/>
    <col min="6" max="6" width="24.28515625" bestFit="1" customWidth="1"/>
    <col min="7" max="8" width="11.7109375" customWidth="1"/>
  </cols>
  <sheetData>
    <row r="1" spans="1:3" x14ac:dyDescent="0.25">
      <c r="A1" s="5" t="s">
        <v>23</v>
      </c>
      <c r="B1" s="10">
        <v>6.46</v>
      </c>
    </row>
    <row r="2" spans="1:3" x14ac:dyDescent="0.25">
      <c r="A2" s="5" t="s">
        <v>24</v>
      </c>
      <c r="B2" s="10">
        <v>8.23</v>
      </c>
    </row>
    <row r="3" spans="1:3" x14ac:dyDescent="0.25">
      <c r="A3" s="5" t="s">
        <v>25</v>
      </c>
      <c r="B3" s="10">
        <v>9.52</v>
      </c>
    </row>
    <row r="4" spans="1:3" x14ac:dyDescent="0.25">
      <c r="A4" s="5" t="s">
        <v>1</v>
      </c>
      <c r="B4" s="12">
        <v>0</v>
      </c>
    </row>
    <row r="5" spans="1:3" x14ac:dyDescent="0.25">
      <c r="A5" s="5" t="s">
        <v>287</v>
      </c>
      <c r="B5" s="49">
        <f>1-B6</f>
        <v>0.44999999999999996</v>
      </c>
      <c r="C5" s="17"/>
    </row>
    <row r="6" spans="1:3" x14ac:dyDescent="0.25">
      <c r="A6" s="5" t="s">
        <v>286</v>
      </c>
      <c r="B6" s="49">
        <v>0.55000000000000004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04CE-FAAA-48C1-8865-5709AA9FE027}">
  <sheetPr codeName="Sheet12"/>
  <dimension ref="A1:O13"/>
  <sheetViews>
    <sheetView zoomScale="85" zoomScaleNormal="85" workbookViewId="0">
      <selection activeCell="E6" sqref="E6"/>
    </sheetView>
  </sheetViews>
  <sheetFormatPr defaultRowHeight="15" x14ac:dyDescent="0.25"/>
  <cols>
    <col min="1" max="1" width="53.85546875" customWidth="1"/>
    <col min="2" max="3" width="11.7109375" customWidth="1"/>
  </cols>
  <sheetData>
    <row r="1" spans="1:15" x14ac:dyDescent="0.25">
      <c r="A1" s="5" t="s">
        <v>304</v>
      </c>
      <c r="B1" s="5">
        <v>82</v>
      </c>
      <c r="C1" t="s">
        <v>300</v>
      </c>
      <c r="D1" t="s">
        <v>445</v>
      </c>
    </row>
    <row r="2" spans="1:15" x14ac:dyDescent="0.25">
      <c r="A2" s="5" t="s">
        <v>305</v>
      </c>
      <c r="B2" s="5">
        <v>5</v>
      </c>
      <c r="C2" t="s">
        <v>300</v>
      </c>
    </row>
    <row r="3" spans="1:15" x14ac:dyDescent="0.25">
      <c r="A3" s="5" t="s">
        <v>306</v>
      </c>
      <c r="B3" s="5">
        <v>27</v>
      </c>
      <c r="C3" t="s">
        <v>300</v>
      </c>
    </row>
    <row r="4" spans="1:15" x14ac:dyDescent="0.25">
      <c r="A4" s="5" t="s">
        <v>297</v>
      </c>
      <c r="B4" s="5">
        <f>SUM(B1:B3)</f>
        <v>114</v>
      </c>
    </row>
    <row r="5" spans="1:15" x14ac:dyDescent="0.25">
      <c r="A5" s="5" t="s">
        <v>298</v>
      </c>
      <c r="B5" s="13">
        <v>0</v>
      </c>
      <c r="I5" s="51"/>
      <c r="J5" s="52"/>
      <c r="K5" s="52"/>
      <c r="L5" s="52"/>
      <c r="M5" s="52"/>
      <c r="N5" s="52"/>
      <c r="O5" s="53"/>
    </row>
    <row r="6" spans="1:15" x14ac:dyDescent="0.25">
      <c r="A6" s="5" t="s">
        <v>290</v>
      </c>
      <c r="B6" s="13">
        <v>0</v>
      </c>
      <c r="N6" s="54"/>
      <c r="O6" s="55"/>
    </row>
    <row r="7" spans="1:15" ht="45" x14ac:dyDescent="0.25">
      <c r="A7" s="50" t="s">
        <v>292</v>
      </c>
      <c r="B7" s="13">
        <v>0</v>
      </c>
      <c r="C7" s="91"/>
      <c r="N7" s="54"/>
      <c r="O7" s="56"/>
    </row>
    <row r="8" spans="1:15" x14ac:dyDescent="0.25">
      <c r="A8" s="5" t="s">
        <v>291</v>
      </c>
      <c r="B8" s="13">
        <f>SUM(B6:B7)</f>
        <v>0</v>
      </c>
      <c r="C8" s="91"/>
      <c r="N8" s="57"/>
      <c r="O8" s="55"/>
    </row>
    <row r="9" spans="1:15" x14ac:dyDescent="0.25">
      <c r="A9" s="5" t="s">
        <v>293</v>
      </c>
      <c r="B9" s="5">
        <f>43.74-8</f>
        <v>35.74</v>
      </c>
      <c r="C9" s="91" t="s">
        <v>301</v>
      </c>
      <c r="N9" s="54"/>
      <c r="O9" s="55"/>
    </row>
    <row r="10" spans="1:15" x14ac:dyDescent="0.25">
      <c r="A10" s="5" t="s">
        <v>299</v>
      </c>
      <c r="B10" s="7">
        <v>1.1599999999999999E-2</v>
      </c>
      <c r="C10" s="91" t="s">
        <v>300</v>
      </c>
      <c r="N10" s="54"/>
      <c r="O10" s="55"/>
    </row>
    <row r="11" spans="1:15" x14ac:dyDescent="0.25">
      <c r="A11" s="5" t="s">
        <v>294</v>
      </c>
      <c r="B11" s="14">
        <f>'Capacity factor'!$B$5</f>
        <v>0.90333333333333332</v>
      </c>
      <c r="C11" s="91" t="s">
        <v>302</v>
      </c>
      <c r="N11" s="58"/>
      <c r="O11" s="59"/>
    </row>
    <row r="12" spans="1:15" x14ac:dyDescent="0.25">
      <c r="A12" s="5" t="s">
        <v>295</v>
      </c>
      <c r="B12" s="14">
        <v>0</v>
      </c>
      <c r="C12" s="91"/>
    </row>
    <row r="13" spans="1:15" x14ac:dyDescent="0.25">
      <c r="D13" s="74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9263A-DD3D-4744-ABFF-FA3DC0253587}">
  <dimension ref="A1:AT89"/>
  <sheetViews>
    <sheetView topLeftCell="D1" zoomScale="55" zoomScaleNormal="55" workbookViewId="0">
      <selection activeCell="O5" sqref="O5"/>
    </sheetView>
  </sheetViews>
  <sheetFormatPr defaultColWidth="9.140625" defaultRowHeight="15" x14ac:dyDescent="0.25"/>
  <cols>
    <col min="1" max="2" width="22.140625" style="146" customWidth="1"/>
    <col min="3" max="3" width="26" style="146" customWidth="1"/>
    <col min="4" max="11" width="22.140625" style="146" customWidth="1"/>
    <col min="12" max="12" width="35.85546875" style="146" customWidth="1"/>
    <col min="13" max="14" width="11.7109375" style="146" customWidth="1"/>
    <col min="15" max="15" width="18" style="146" customWidth="1"/>
    <col min="16" max="16" width="11.7109375" style="146" customWidth="1"/>
    <col min="17" max="17" width="21.28515625" style="146" customWidth="1"/>
    <col min="18" max="21" width="17.85546875" style="146" customWidth="1"/>
    <col min="22" max="22" width="17.42578125" style="147" customWidth="1"/>
    <col min="23" max="23" width="20.5703125" style="147" customWidth="1"/>
    <col min="24" max="25" width="11.5703125" style="147" customWidth="1"/>
    <col min="26" max="16384" width="9.140625" style="147"/>
  </cols>
  <sheetData>
    <row r="1" spans="1:42" ht="25.9" customHeight="1" x14ac:dyDescent="0.25">
      <c r="A1" s="223" t="s">
        <v>225</v>
      </c>
      <c r="B1" s="223"/>
      <c r="C1" s="223"/>
      <c r="D1" s="223"/>
      <c r="E1" s="223"/>
      <c r="F1" s="223"/>
      <c r="G1" s="223"/>
      <c r="H1" s="223"/>
      <c r="I1" s="223"/>
      <c r="J1" s="223"/>
      <c r="K1" s="198" t="s">
        <v>428</v>
      </c>
      <c r="L1" s="29">
        <v>5.0000000000000001E-3</v>
      </c>
      <c r="N1" s="224" t="s">
        <v>226</v>
      </c>
      <c r="O1" s="225"/>
      <c r="P1" s="225"/>
      <c r="Q1" s="226"/>
      <c r="R1" s="199" t="s">
        <v>429</v>
      </c>
      <c r="S1" s="200" t="s">
        <v>430</v>
      </c>
      <c r="T1" s="207" t="s">
        <v>431</v>
      </c>
      <c r="U1" s="208" t="s">
        <v>414</v>
      </c>
    </row>
    <row r="2" spans="1:42" ht="55.9" customHeight="1" thickBot="1" x14ac:dyDescent="0.3">
      <c r="A2" s="148" t="s">
        <v>227</v>
      </c>
      <c r="B2" s="148" t="s">
        <v>228</v>
      </c>
      <c r="C2" s="148" t="s">
        <v>269</v>
      </c>
      <c r="D2" s="148" t="s">
        <v>270</v>
      </c>
      <c r="E2" s="148" t="s">
        <v>271</v>
      </c>
      <c r="F2" s="148" t="s">
        <v>272</v>
      </c>
      <c r="G2" s="148" t="s">
        <v>232</v>
      </c>
      <c r="H2" s="148" t="s">
        <v>233</v>
      </c>
      <c r="I2" s="149" t="s">
        <v>234</v>
      </c>
      <c r="J2" s="149" t="s">
        <v>415</v>
      </c>
      <c r="K2" s="110" t="s">
        <v>235</v>
      </c>
      <c r="L2" s="110">
        <v>40</v>
      </c>
      <c r="M2" s="150"/>
      <c r="N2" s="151" t="s">
        <v>236</v>
      </c>
      <c r="O2" s="33" t="s">
        <v>237</v>
      </c>
      <c r="P2" s="33" t="s">
        <v>238</v>
      </c>
      <c r="Q2" s="152" t="s">
        <v>273</v>
      </c>
      <c r="R2" s="201">
        <v>0.93</v>
      </c>
      <c r="S2" s="202">
        <v>0.9</v>
      </c>
      <c r="T2" s="209">
        <f>'Capacity factor'!$B$5</f>
        <v>0.90333333333333332</v>
      </c>
      <c r="U2" s="210">
        <v>8760</v>
      </c>
    </row>
    <row r="3" spans="1:42" ht="34.9" customHeight="1" thickBot="1" x14ac:dyDescent="0.3">
      <c r="A3" s="153" t="s">
        <v>274</v>
      </c>
      <c r="B3" s="153">
        <v>507</v>
      </c>
      <c r="C3" s="154">
        <f>L17*(B3/SUM(B3:B4))</f>
        <v>426.15273775216139</v>
      </c>
      <c r="D3" s="155">
        <f>C3*$Q$3</f>
        <v>417.203530259366</v>
      </c>
      <c r="E3" s="156">
        <f>D3*1000000</f>
        <v>417203530.25936598</v>
      </c>
      <c r="F3" s="156">
        <f>FV($L$1,$L$2,,-E3,1)</f>
        <v>509319665.18257678</v>
      </c>
      <c r="G3" s="156">
        <f>PMT($L$3,$L$2,,-F3,1)</f>
        <v>7809092.3667559754</v>
      </c>
      <c r="H3" s="156" cm="1">
        <f t="array" aca="1" ref="H3" ca="1">SUM(G3*(1+$L$3)^ROW(INDIRECT("1:"&amp;$L$2)))</f>
        <v>509319665.18257618</v>
      </c>
      <c r="I3" s="157">
        <f>G3/(SUM(B3))</f>
        <v>15402.549046855967</v>
      </c>
      <c r="J3" s="158">
        <f>I3/($T$2*$U$2)</f>
        <v>1.946437477487738</v>
      </c>
      <c r="K3" s="98" t="s">
        <v>432</v>
      </c>
      <c r="L3" s="103">
        <v>2.2499999999999999E-2</v>
      </c>
      <c r="M3" s="159"/>
      <c r="N3" s="160">
        <f>1.34</f>
        <v>1.34</v>
      </c>
      <c r="O3" s="161">
        <f>1.127</f>
        <v>1.127</v>
      </c>
      <c r="P3" s="161">
        <v>1.002</v>
      </c>
      <c r="Q3" s="162">
        <v>0.97899999999999998</v>
      </c>
      <c r="R3" s="203" t="s">
        <v>433</v>
      </c>
      <c r="S3" s="204">
        <v>0</v>
      </c>
      <c r="T3" s="111"/>
      <c r="U3" s="96"/>
    </row>
    <row r="4" spans="1:42" ht="34.9" customHeight="1" thickBot="1" x14ac:dyDescent="0.3">
      <c r="A4" s="153" t="s">
        <v>275</v>
      </c>
      <c r="B4" s="153">
        <v>1575</v>
      </c>
      <c r="C4" s="154">
        <f>L17*(B4/SUM(B3:B4))</f>
        <v>1323.8472622478384</v>
      </c>
      <c r="D4" s="155">
        <f>C4*$Q$3</f>
        <v>1296.0464697406337</v>
      </c>
      <c r="E4" s="156">
        <f>D4*1000000</f>
        <v>1296046469.7406337</v>
      </c>
      <c r="F4" s="156">
        <f>FV($L$1,$L$2,,-E4,1)</f>
        <v>1582206060.4784186</v>
      </c>
      <c r="G4" s="156">
        <f>PMT($L$3,$L$2,,-F4,1)</f>
        <v>24259014.748798151</v>
      </c>
      <c r="H4" s="156" cm="1">
        <f t="array" aca="1" ref="H4" ca="1">SUM(G4*(1+$L$3)^ROW(INDIRECT("1:"&amp;$L$2)))</f>
        <v>1582206060.4784174</v>
      </c>
      <c r="I4" s="157">
        <f t="shared" ref="I4" si="0">G4/(SUM(B4))</f>
        <v>15402.549046855969</v>
      </c>
      <c r="J4" s="158">
        <f>I4/($T$2*$U$2)</f>
        <v>1.9464374774877382</v>
      </c>
      <c r="K4" s="163"/>
      <c r="O4" s="111"/>
      <c r="P4" s="111"/>
      <c r="Q4" s="111"/>
      <c r="R4" s="205" t="s">
        <v>434</v>
      </c>
      <c r="S4" s="206">
        <f>0.015</f>
        <v>1.4999999999999999E-2</v>
      </c>
      <c r="T4" s="111"/>
      <c r="U4" s="96"/>
      <c r="Z4" s="45"/>
      <c r="AI4" s="45"/>
    </row>
    <row r="5" spans="1:42" ht="34.9" customHeight="1" x14ac:dyDescent="0.25">
      <c r="A5" s="153" t="str">
        <f>A3</f>
        <v>Loviisa-2 (Finska)</v>
      </c>
      <c r="B5" s="153"/>
      <c r="C5" s="154"/>
      <c r="D5" s="155"/>
      <c r="E5" s="156"/>
      <c r="F5" s="156"/>
      <c r="G5" s="156"/>
      <c r="H5" s="156"/>
      <c r="I5" s="157">
        <f>I3</f>
        <v>15402.549046855967</v>
      </c>
      <c r="J5" s="158">
        <f>I5/($T$2*$U$2)</f>
        <v>1.946437477487738</v>
      </c>
      <c r="K5" s="214" t="s">
        <v>234</v>
      </c>
      <c r="L5" s="215"/>
      <c r="M5" s="216" t="s">
        <v>415</v>
      </c>
      <c r="N5" s="21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</row>
    <row r="6" spans="1:42" ht="34.9" customHeight="1" x14ac:dyDescent="0.25">
      <c r="A6" s="153" t="str">
        <f>A4</f>
        <v>Olkiluoto-3 (Finska)</v>
      </c>
      <c r="B6" s="153"/>
      <c r="C6" s="154"/>
      <c r="D6" s="155"/>
      <c r="E6" s="156"/>
      <c r="F6" s="156"/>
      <c r="G6" s="156"/>
      <c r="H6" s="156"/>
      <c r="I6" s="157">
        <f>I4</f>
        <v>15402.549046855969</v>
      </c>
      <c r="J6" s="158">
        <f>I6/($T$2*$U$2)</f>
        <v>1.9464374774877382</v>
      </c>
      <c r="K6" s="99" t="s">
        <v>3</v>
      </c>
      <c r="L6" s="43">
        <f ca="1">MIN(I3:I17)</f>
        <v>14349.778641247933</v>
      </c>
      <c r="M6" s="99" t="s">
        <v>3</v>
      </c>
      <c r="N6" s="81">
        <f ca="1">MIN(J3:J17)</f>
        <v>1.8133976951483513</v>
      </c>
      <c r="S6" s="164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</row>
    <row r="7" spans="1:42" ht="34.9" customHeight="1" x14ac:dyDescent="0.25">
      <c r="A7" s="153" t="s">
        <v>276</v>
      </c>
      <c r="B7" s="153">
        <v>600</v>
      </c>
      <c r="C7" s="44">
        <f t="shared" ref="C7:C12" si="1">$L$20*(B7/SUM($B$7:$B$12))</f>
        <v>469.85210318204878</v>
      </c>
      <c r="D7" s="165">
        <f>C7*$Q$3</f>
        <v>459.98520901522573</v>
      </c>
      <c r="E7" s="156">
        <f t="shared" ref="E7:E12" si="2">D7*1000000</f>
        <v>459985209.01522571</v>
      </c>
      <c r="F7" s="156">
        <f t="shared" ref="F7:F12" si="3">FV($L$1,$L$2,,-E7,1)</f>
        <v>561547292.03495979</v>
      </c>
      <c r="G7" s="156">
        <f t="shared" ref="G7:G12" si="4">PMT($L$3,$L$2,,-F7,1)</f>
        <v>8609867.1847487614</v>
      </c>
      <c r="H7" s="156" cm="1">
        <f t="array" aca="1" ref="H7" ca="1">SUM(G7*(1+$L$3)^ROW(INDIRECT("1:"&amp;$L$2)))</f>
        <v>561547292.03495932</v>
      </c>
      <c r="I7" s="157">
        <f t="shared" ref="I7:I12" si="5">G7/(SUM(B7))</f>
        <v>14349.778641247936</v>
      </c>
      <c r="J7" s="158">
        <f>I7/($T$2*$U$2)</f>
        <v>1.8133976951483517</v>
      </c>
      <c r="K7" s="99" t="s">
        <v>20</v>
      </c>
      <c r="L7" s="43">
        <f ca="1">AVERAGE(I3:I17)</f>
        <v>20581.442834239613</v>
      </c>
      <c r="M7" s="99" t="s">
        <v>20</v>
      </c>
      <c r="N7" s="81">
        <f ca="1">AVERAGE(J3:J17)</f>
        <v>2.5951394985950653</v>
      </c>
      <c r="O7" s="163"/>
      <c r="P7" s="163"/>
      <c r="Q7" s="163"/>
      <c r="R7" s="163"/>
      <c r="W7" s="197"/>
      <c r="X7" s="197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7"/>
      <c r="AL7" s="197"/>
      <c r="AM7" s="197"/>
      <c r="AN7" s="197"/>
      <c r="AO7" s="197"/>
      <c r="AP7" s="197"/>
    </row>
    <row r="8" spans="1:42" s="146" customFormat="1" ht="34.9" customHeight="1" x14ac:dyDescent="0.25">
      <c r="A8" s="153" t="s">
        <v>277</v>
      </c>
      <c r="B8" s="153">
        <v>1121</v>
      </c>
      <c r="C8" s="44">
        <f t="shared" si="1"/>
        <v>877.84034611179447</v>
      </c>
      <c r="D8" s="165">
        <f t="shared" ref="D8:D12" si="6">C8*$Q$3</f>
        <v>859.40569884344677</v>
      </c>
      <c r="E8" s="156">
        <f t="shared" si="2"/>
        <v>859405698.84344673</v>
      </c>
      <c r="F8" s="156">
        <f t="shared" si="3"/>
        <v>1049157523.9519831</v>
      </c>
      <c r="G8" s="156">
        <f t="shared" si="4"/>
        <v>16086101.856838934</v>
      </c>
      <c r="H8" s="156" cm="1">
        <f t="array" aca="1" ref="H8" ca="1">SUM(G8*(1+$L$3)^ROW(INDIRECT("1:"&amp;$L$2)))</f>
        <v>1049157523.951982</v>
      </c>
      <c r="I8" s="157">
        <f t="shared" si="5"/>
        <v>14349.778641247935</v>
      </c>
      <c r="J8" s="158">
        <f t="shared" ref="J8:J12" si="7">I8/($T$2*$U$2)</f>
        <v>1.8133976951483515</v>
      </c>
      <c r="K8" s="99" t="s">
        <v>5</v>
      </c>
      <c r="L8" s="43">
        <f ca="1">MAX(I3:I17)</f>
        <v>58991.718031717508</v>
      </c>
      <c r="M8" s="99" t="s">
        <v>5</v>
      </c>
      <c r="N8" s="81">
        <f ca="1">MAX(J3:J17)</f>
        <v>7.4548498751096277</v>
      </c>
      <c r="O8" s="163"/>
      <c r="P8" s="163"/>
      <c r="Q8" s="163"/>
      <c r="R8" s="163"/>
      <c r="S8" s="163"/>
      <c r="W8" s="197"/>
      <c r="X8" s="197"/>
      <c r="Y8" s="197"/>
      <c r="Z8" s="197"/>
      <c r="AA8" s="197"/>
      <c r="AB8" s="197"/>
      <c r="AC8" s="197"/>
      <c r="AD8" s="197"/>
      <c r="AE8" s="197"/>
      <c r="AF8" s="197"/>
      <c r="AG8" s="197"/>
      <c r="AH8" s="197"/>
      <c r="AI8" s="197"/>
      <c r="AJ8" s="197"/>
      <c r="AK8" s="197"/>
      <c r="AL8" s="197"/>
      <c r="AM8" s="197"/>
      <c r="AN8" s="197"/>
      <c r="AO8" s="197"/>
      <c r="AP8" s="197"/>
    </row>
    <row r="9" spans="1:42" s="146" customFormat="1" ht="34.9" customHeight="1" x14ac:dyDescent="0.25">
      <c r="A9" s="153" t="s">
        <v>278</v>
      </c>
      <c r="B9" s="153">
        <v>1172</v>
      </c>
      <c r="C9" s="44">
        <f t="shared" si="1"/>
        <v>917.77777488226866</v>
      </c>
      <c r="D9" s="165">
        <f t="shared" si="6"/>
        <v>898.50444160974098</v>
      </c>
      <c r="E9" s="156">
        <f t="shared" si="2"/>
        <v>898504441.60974097</v>
      </c>
      <c r="F9" s="156">
        <f t="shared" si="3"/>
        <v>1096889043.7749548</v>
      </c>
      <c r="G9" s="156">
        <f t="shared" si="4"/>
        <v>16817940.567542579</v>
      </c>
      <c r="H9" s="156" cm="1">
        <f t="array" aca="1" ref="H9" ca="1">SUM(G9*(1+$L$3)^ROW(INDIRECT("1:"&amp;$L$2)))</f>
        <v>1096889043.7749536</v>
      </c>
      <c r="I9" s="157">
        <f t="shared" si="5"/>
        <v>14349.778641247935</v>
      </c>
      <c r="J9" s="158">
        <f t="shared" si="7"/>
        <v>1.8133976951483515</v>
      </c>
      <c r="K9" s="100" t="s">
        <v>266</v>
      </c>
      <c r="L9" s="39">
        <f ca="1">$L$6</f>
        <v>14349.778641247933</v>
      </c>
      <c r="M9" s="100" t="s">
        <v>266</v>
      </c>
      <c r="N9" s="101">
        <f ca="1">$N$6</f>
        <v>1.8133976951483513</v>
      </c>
      <c r="S9" s="163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</row>
    <row r="10" spans="1:42" s="146" customFormat="1" ht="34.9" customHeight="1" x14ac:dyDescent="0.25">
      <c r="A10" s="153" t="s">
        <v>279</v>
      </c>
      <c r="B10" s="153">
        <v>1400</v>
      </c>
      <c r="C10" s="44">
        <f t="shared" si="1"/>
        <v>1096.3215740914472</v>
      </c>
      <c r="D10" s="165">
        <f t="shared" si="6"/>
        <v>1073.2988210355268</v>
      </c>
      <c r="E10" s="156">
        <f t="shared" si="2"/>
        <v>1073298821.0355268</v>
      </c>
      <c r="F10" s="156">
        <f t="shared" si="3"/>
        <v>1310277014.7482395</v>
      </c>
      <c r="G10" s="156">
        <f t="shared" si="4"/>
        <v>20089690.097747106</v>
      </c>
      <c r="H10" s="156" cm="1">
        <f t="array" aca="1" ref="H10" ca="1">SUM(G10*(1+$L$3)^ROW(INDIRECT("1:"&amp;$L$2)))</f>
        <v>1310277014.7482381</v>
      </c>
      <c r="I10" s="157">
        <f t="shared" si="5"/>
        <v>14349.778641247933</v>
      </c>
      <c r="J10" s="158">
        <f t="shared" si="7"/>
        <v>1.8133976951483513</v>
      </c>
      <c r="K10" s="100" t="s">
        <v>267</v>
      </c>
      <c r="L10" s="39">
        <f ca="1">$L$8</f>
        <v>58991.718031717508</v>
      </c>
      <c r="M10" s="100" t="s">
        <v>267</v>
      </c>
      <c r="N10" s="101">
        <f ca="1">$N$8</f>
        <v>7.4548498751096277</v>
      </c>
      <c r="S10" s="163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</row>
    <row r="11" spans="1:42" s="146" customFormat="1" ht="34.9" customHeight="1" x14ac:dyDescent="0.25">
      <c r="A11" s="153" t="s">
        <v>280</v>
      </c>
      <c r="B11" s="153">
        <v>1081</v>
      </c>
      <c r="C11" s="44">
        <f t="shared" si="1"/>
        <v>846.51687256632454</v>
      </c>
      <c r="D11" s="165">
        <f t="shared" si="6"/>
        <v>828.74001824243169</v>
      </c>
      <c r="E11" s="156">
        <f t="shared" si="2"/>
        <v>828740018.24243164</v>
      </c>
      <c r="F11" s="156">
        <f t="shared" si="3"/>
        <v>1011721037.8163191</v>
      </c>
      <c r="G11" s="156">
        <f t="shared" si="4"/>
        <v>15512110.711189019</v>
      </c>
      <c r="H11" s="156" cm="1">
        <f t="array" aca="1" ref="H11" ca="1">SUM(G11*(1+$L$3)^ROW(INDIRECT("1:"&amp;$L$2)))</f>
        <v>1011721037.8163183</v>
      </c>
      <c r="I11" s="157">
        <f t="shared" si="5"/>
        <v>14349.778641247936</v>
      </c>
      <c r="J11" s="158">
        <f t="shared" si="7"/>
        <v>1.8133976951483517</v>
      </c>
      <c r="K11" s="166" t="s">
        <v>257</v>
      </c>
      <c r="L11" s="167">
        <f>AVERAGE((306+147),(317+172),(394+198))</f>
        <v>511.33333333333331</v>
      </c>
      <c r="M11" s="168" t="s">
        <v>282</v>
      </c>
      <c r="R11" s="163"/>
      <c r="S11" s="163"/>
    </row>
    <row r="12" spans="1:42" s="146" customFormat="1" ht="34.9" customHeight="1" x14ac:dyDescent="0.25">
      <c r="A12" s="153" t="s">
        <v>281</v>
      </c>
      <c r="B12" s="153">
        <v>1130</v>
      </c>
      <c r="C12" s="44">
        <f t="shared" si="1"/>
        <v>884.88812765952525</v>
      </c>
      <c r="D12" s="165">
        <f t="shared" si="6"/>
        <v>866.30547697867519</v>
      </c>
      <c r="E12" s="156">
        <f t="shared" si="2"/>
        <v>866305476.97867525</v>
      </c>
      <c r="F12" s="156">
        <f t="shared" si="3"/>
        <v>1057580733.3325077</v>
      </c>
      <c r="G12" s="156">
        <f t="shared" si="4"/>
        <v>16215249.864610169</v>
      </c>
      <c r="H12" s="156" cm="1">
        <f t="array" aca="1" ref="H12" ca="1">SUM(G12*(1+$L$3)^ROW(INDIRECT("1:"&amp;$L$2)))</f>
        <v>1057580733.3325068</v>
      </c>
      <c r="I12" s="157">
        <f t="shared" si="5"/>
        <v>14349.778641247938</v>
      </c>
      <c r="J12" s="158">
        <f t="shared" si="7"/>
        <v>1.8133976951483519</v>
      </c>
      <c r="K12" s="146" t="s">
        <v>396</v>
      </c>
      <c r="L12" s="169">
        <v>0.5</v>
      </c>
      <c r="M12" s="163"/>
      <c r="N12" s="163"/>
      <c r="O12" s="163"/>
      <c r="P12" s="163"/>
      <c r="Q12" s="163"/>
      <c r="R12" s="163"/>
      <c r="S12" s="163"/>
    </row>
    <row r="13" spans="1:42" s="146" customFormat="1" ht="34.9" customHeight="1" x14ac:dyDescent="0.25">
      <c r="A13" s="170" t="s">
        <v>255</v>
      </c>
      <c r="B13" s="113">
        <v>696</v>
      </c>
      <c r="C13" s="171" t="s">
        <v>438</v>
      </c>
      <c r="D13" s="165">
        <f>1845</f>
        <v>1845</v>
      </c>
      <c r="E13" s="156">
        <f>D13*1000000</f>
        <v>1845000000</v>
      </c>
      <c r="F13" s="156">
        <f>FV($L$1,$L$2,,-E13,1)</f>
        <v>2252365366.3181305</v>
      </c>
      <c r="G13" s="156">
        <f>PMT($L$3,$L$2,,-F13,1)</f>
        <v>34534164.674272507</v>
      </c>
      <c r="H13" s="156" cm="1">
        <f t="array" aca="1" ref="H13" ca="1">SUM(G13*(1+$L$3)^ROW(INDIRECT("1:"&amp;$L$2)))</f>
        <v>2252365366.3181286</v>
      </c>
      <c r="I13" s="157">
        <f>G13/(SUM(B13))</f>
        <v>49618.052692920268</v>
      </c>
      <c r="J13" s="158">
        <f>I13/($S$2*$U$2)</f>
        <v>6.2935125181278879</v>
      </c>
      <c r="L13" s="169"/>
      <c r="M13" s="163"/>
      <c r="N13" s="163"/>
      <c r="O13" s="163"/>
      <c r="P13" s="163"/>
      <c r="Q13" s="163"/>
      <c r="R13" s="163"/>
      <c r="S13" s="163"/>
    </row>
    <row r="14" spans="1:42" s="146" customFormat="1" ht="34.9" customHeight="1" x14ac:dyDescent="0.25">
      <c r="A14" s="170" t="s">
        <v>256</v>
      </c>
      <c r="B14" s="113">
        <f>1250</f>
        <v>1250</v>
      </c>
      <c r="C14" s="113" t="s">
        <v>435</v>
      </c>
      <c r="D14" s="172">
        <f>3227*C74</f>
        <v>1041.5861386138615</v>
      </c>
      <c r="E14" s="156">
        <f>D14*1000000</f>
        <v>1041586138.6138616</v>
      </c>
      <c r="F14" s="156">
        <f>FV($S$3,$L$2,,-E14,1)</f>
        <v>1041586138.6138616</v>
      </c>
      <c r="G14" s="156">
        <f>PMT($S$4,$L$2,,-F14,1)</f>
        <v>18909767.194791909</v>
      </c>
      <c r="H14" s="156" cm="1">
        <f t="array" aca="1" ref="H14" ca="1">SUM(G14*(1+$S$4)^ROW(INDIRECT("1:"&amp;$L$2)))</f>
        <v>1041586138.6138587</v>
      </c>
      <c r="I14" s="157">
        <f>G14/(SUM(B14))</f>
        <v>15127.813755833527</v>
      </c>
      <c r="J14" s="158">
        <f>I14/($R$2*$U$2)</f>
        <v>1.8569025575481817</v>
      </c>
      <c r="L14" s="169"/>
      <c r="M14" s="163"/>
      <c r="N14" s="163"/>
      <c r="O14" s="163"/>
      <c r="P14" s="163"/>
      <c r="Q14" s="163"/>
      <c r="R14" s="163"/>
      <c r="S14" s="163"/>
    </row>
    <row r="15" spans="1:42" s="146" customFormat="1" ht="34.9" customHeight="1" x14ac:dyDescent="0.25">
      <c r="A15" s="170" t="s">
        <v>256</v>
      </c>
      <c r="B15" s="113">
        <f>1250</f>
        <v>1250</v>
      </c>
      <c r="C15" s="113" t="s">
        <v>435</v>
      </c>
      <c r="D15" s="172">
        <f>3227*C74</f>
        <v>1041.5861386138615</v>
      </c>
      <c r="E15" s="156">
        <f>D15*1000000</f>
        <v>1041586138.6138616</v>
      </c>
      <c r="F15" s="156">
        <f>FV($S$3,$L$2,,-E15,1)</f>
        <v>1041586138.6138616</v>
      </c>
      <c r="G15" s="156">
        <f>PMT($S$4,$L$2,,-F15,1)</f>
        <v>18909767.194791909</v>
      </c>
      <c r="H15" s="156" cm="1">
        <f t="array" aca="1" ref="H15" ca="1">SUM(G15*(1+$S$4)^ROW(INDIRECT("1:"&amp;$L$2)))</f>
        <v>1041586138.6138587</v>
      </c>
      <c r="I15" s="157">
        <f>G15/(SUM(B15))</f>
        <v>15127.813755833527</v>
      </c>
      <c r="J15" s="158">
        <f>I15/($R$2*$U$2)</f>
        <v>1.8569025575481817</v>
      </c>
      <c r="K15" s="112" t="s">
        <v>371</v>
      </c>
      <c r="L15" s="76">
        <v>7000</v>
      </c>
      <c r="M15" s="113" t="s">
        <v>283</v>
      </c>
      <c r="R15" s="163"/>
      <c r="S15" s="163"/>
    </row>
    <row r="16" spans="1:42" s="146" customFormat="1" ht="34.9" customHeight="1" x14ac:dyDescent="0.25">
      <c r="A16" s="173" t="s">
        <v>253</v>
      </c>
      <c r="B16" s="113">
        <v>1010</v>
      </c>
      <c r="C16" s="153" t="s">
        <v>436</v>
      </c>
      <c r="D16" s="165">
        <f>4751*N3*L12</f>
        <v>3183.17</v>
      </c>
      <c r="E16" s="156">
        <f>D16*1000000</f>
        <v>3183170000</v>
      </c>
      <c r="F16" s="156">
        <f>FV($L$1,$L$2,,-E16,1)</f>
        <v>3885995589.7576604</v>
      </c>
      <c r="G16" s="156">
        <f>PMT($L$3,$L$2,,-F16,1)</f>
        <v>59581635.21203468</v>
      </c>
      <c r="H16" s="156" cm="1">
        <f t="array" aca="1" ref="H16" ca="1">SUM(G16*(1+$L$3)^ROW(INDIRECT("1:"&amp;$L$2)))</f>
        <v>3885995589.7576551</v>
      </c>
      <c r="I16" s="157">
        <f>G16/(SUM(B16))</f>
        <v>58991.718031717508</v>
      </c>
      <c r="J16" s="158">
        <f>I16/($T$2*$U$2)</f>
        <v>7.4548498751096277</v>
      </c>
      <c r="K16" s="113" t="s">
        <v>372</v>
      </c>
      <c r="L16" s="77">
        <v>0.25</v>
      </c>
      <c r="M16" s="78" t="s">
        <v>284</v>
      </c>
      <c r="N16" s="174"/>
      <c r="O16" s="174"/>
      <c r="P16" s="174"/>
      <c r="Q16" s="174"/>
      <c r="R16" s="163"/>
      <c r="S16" s="163"/>
    </row>
    <row r="17" spans="1:43" s="146" customFormat="1" ht="34.9" customHeight="1" x14ac:dyDescent="0.25">
      <c r="A17" s="153" t="s">
        <v>394</v>
      </c>
      <c r="B17" s="153"/>
      <c r="C17" s="153"/>
      <c r="D17" s="165"/>
      <c r="E17" s="156"/>
      <c r="F17" s="156"/>
      <c r="G17" s="156"/>
      <c r="H17" s="156"/>
      <c r="I17" s="157">
        <f ca="1">$D$87</f>
        <v>22147.376242377897</v>
      </c>
      <c r="J17" s="158">
        <f ca="1">I17/($T$2*$U$2)</f>
        <v>2.798788889751036</v>
      </c>
      <c r="K17" s="113" t="s">
        <v>373</v>
      </c>
      <c r="L17" s="76">
        <f>L16*L15</f>
        <v>1750</v>
      </c>
      <c r="M17" s="78">
        <v>10.62</v>
      </c>
      <c r="N17" s="174"/>
      <c r="O17" s="174"/>
      <c r="P17" s="174"/>
      <c r="Q17" s="174"/>
      <c r="R17" s="163"/>
      <c r="S17" s="163"/>
      <c r="AJ17" s="213"/>
      <c r="AK17" s="213"/>
      <c r="AL17" s="213"/>
      <c r="AM17" s="213"/>
      <c r="AN17" s="213"/>
      <c r="AO17" s="213"/>
      <c r="AP17" s="213"/>
      <c r="AQ17" s="213"/>
    </row>
    <row r="18" spans="1:43" s="146" customFormat="1" ht="34.9" customHeight="1" x14ac:dyDescent="0.25">
      <c r="A18" s="175" t="s">
        <v>258</v>
      </c>
      <c r="B18" s="175"/>
      <c r="C18" s="176"/>
      <c r="D18" s="176"/>
      <c r="E18" s="176"/>
      <c r="F18" s="176"/>
      <c r="G18" s="176"/>
      <c r="H18" s="176"/>
      <c r="I18" s="176"/>
      <c r="J18" s="176"/>
      <c r="K18" s="112" t="s">
        <v>370</v>
      </c>
      <c r="L18" s="112">
        <f>M19</f>
        <v>20372.787193973636</v>
      </c>
      <c r="M18" s="113" t="s">
        <v>401</v>
      </c>
      <c r="R18" s="163"/>
      <c r="S18" s="163"/>
      <c r="AJ18" s="221"/>
      <c r="AK18" s="222"/>
      <c r="AL18" s="222"/>
      <c r="AM18" s="222"/>
      <c r="AN18" s="222"/>
      <c r="AO18" s="222"/>
      <c r="AP18" s="222"/>
      <c r="AQ18" s="222"/>
    </row>
    <row r="19" spans="1:43" s="146" customFormat="1" ht="34.9" customHeight="1" x14ac:dyDescent="0.25">
      <c r="A19" s="148" t="str">
        <f>A2</f>
        <v>Jedrska elektrarna</v>
      </c>
      <c r="B19" s="148" t="str">
        <f>B2</f>
        <v>Moč reaktorja (MW)</v>
      </c>
      <c r="C19" s="148" t="str">
        <f>C2</f>
        <v>Cena ravnanja z odpadki 2020-2023 (mio. €)</v>
      </c>
      <c r="D19" s="148" t="str">
        <f>D2</f>
        <v>Cena ravnanja z odpadki 2024 (mio. €)</v>
      </c>
      <c r="E19" s="148" t="str">
        <f>E2</f>
        <v>Cena ravnanja z odpadki 2024 [EUR]</v>
      </c>
      <c r="F19" s="148" t="s">
        <v>260</v>
      </c>
      <c r="G19" s="148" t="s">
        <v>261</v>
      </c>
      <c r="H19" s="148" t="s">
        <v>233</v>
      </c>
      <c r="I19" s="149" t="s">
        <v>234</v>
      </c>
      <c r="J19" s="149" t="s">
        <v>415</v>
      </c>
      <c r="K19" s="113" t="str">
        <f>K16</f>
        <v>Koliko prevzamejo mlajše elektrarne (2/5)</v>
      </c>
      <c r="L19" s="177">
        <f>L16</f>
        <v>0.25</v>
      </c>
      <c r="M19" s="76">
        <f>(221000000000/10.62)/1000000*Q3</f>
        <v>20372.787193973636</v>
      </c>
      <c r="N19" s="178"/>
      <c r="O19" s="178"/>
      <c r="P19" s="178"/>
      <c r="Q19" s="178"/>
      <c r="R19" s="163"/>
      <c r="S19" s="163"/>
    </row>
    <row r="20" spans="1:43" s="146" customFormat="1" ht="34.9" customHeight="1" x14ac:dyDescent="0.25">
      <c r="A20" s="153" t="s">
        <v>274</v>
      </c>
      <c r="B20" s="153">
        <v>507</v>
      </c>
      <c r="C20" s="154">
        <f>$L$17*(B20/SUM(B20:B21))</f>
        <v>426.15273775216139</v>
      </c>
      <c r="D20" s="155">
        <f>C20*$Q$3</f>
        <v>417.203530259366</v>
      </c>
      <c r="E20" s="156">
        <f>D20*1000000</f>
        <v>417203530.25936598</v>
      </c>
      <c r="F20" s="156">
        <f>FV($L$1,$L$22,,-E20,1)</f>
        <v>562745045.43445385</v>
      </c>
      <c r="G20" s="156">
        <f>PMT($L$3,$L$22,,-F20,1)</f>
        <v>4422338.1214436386</v>
      </c>
      <c r="H20" s="156" cm="1">
        <f t="array" aca="1" ref="H20" ca="1">SUM(G20*(1+$L$3)^ROW(INDIRECT("1:"&amp;$L$22)))</f>
        <v>562745045.43445289</v>
      </c>
      <c r="I20" s="157">
        <f>G20/(SUM(B20))</f>
        <v>8722.5603973247307</v>
      </c>
      <c r="J20" s="158">
        <f>I20/($T$2*$U$2)</f>
        <v>1.1022797853364923</v>
      </c>
      <c r="K20" s="113" t="s">
        <v>374</v>
      </c>
      <c r="L20" s="112">
        <f>L19*L18</f>
        <v>5093.196798493409</v>
      </c>
      <c r="M20" s="111"/>
      <c r="R20" s="163"/>
      <c r="S20" s="163"/>
    </row>
    <row r="21" spans="1:43" s="146" customFormat="1" ht="34.9" customHeight="1" x14ac:dyDescent="0.25">
      <c r="A21" s="153" t="s">
        <v>275</v>
      </c>
      <c r="B21" s="153">
        <v>1575</v>
      </c>
      <c r="C21" s="154">
        <f>$L$17*(B21/SUM(B20:B21))</f>
        <v>1323.8472622478384</v>
      </c>
      <c r="D21" s="155">
        <f>C21*$Q$3</f>
        <v>1296.0464697406337</v>
      </c>
      <c r="E21" s="156">
        <f>D21*1000000</f>
        <v>1296046469.7406337</v>
      </c>
      <c r="F21" s="156">
        <f>FV($L$1,$L$22,,-E21,1)</f>
        <v>1748172478.4206405</v>
      </c>
      <c r="G21" s="156">
        <f>PMT($L$3,$L$22,,-F21,1)</f>
        <v>13738032.62578645</v>
      </c>
      <c r="H21" s="156" cm="1">
        <f t="array" aca="1" ref="H21" ca="1">SUM(G21*(1+$L$3)^ROW(INDIRECT("1:"&amp;$L$22)))</f>
        <v>1748172478.4206371</v>
      </c>
      <c r="I21" s="157">
        <f>G21/(SUM(B21))</f>
        <v>8722.5603973247307</v>
      </c>
      <c r="J21" s="158">
        <f>I21/($T$2*$U$2)</f>
        <v>1.1022797853364923</v>
      </c>
      <c r="K21" s="163"/>
      <c r="L21" s="163"/>
      <c r="R21" s="163"/>
      <c r="S21" s="163"/>
    </row>
    <row r="22" spans="1:43" s="146" customFormat="1" ht="34.9" customHeight="1" x14ac:dyDescent="0.25">
      <c r="A22" s="153" t="str">
        <f>A20</f>
        <v>Loviisa-2 (Finska)</v>
      </c>
      <c r="B22" s="153"/>
      <c r="C22" s="154"/>
      <c r="D22" s="155"/>
      <c r="E22" s="156"/>
      <c r="F22" s="156"/>
      <c r="G22" s="156"/>
      <c r="H22" s="156"/>
      <c r="I22" s="157">
        <f>I20</f>
        <v>8722.5603973247307</v>
      </c>
      <c r="J22" s="158">
        <f>I22/($T$2*$U$2)</f>
        <v>1.1022797853364923</v>
      </c>
      <c r="K22" s="176" t="s">
        <v>259</v>
      </c>
      <c r="L22" s="176">
        <v>60</v>
      </c>
      <c r="R22" s="163"/>
      <c r="S22" s="163"/>
    </row>
    <row r="23" spans="1:43" s="146" customFormat="1" ht="34.9" customHeight="1" x14ac:dyDescent="0.25">
      <c r="A23" s="153" t="str">
        <f>A21</f>
        <v>Olkiluoto-3 (Finska)</v>
      </c>
      <c r="B23" s="153"/>
      <c r="C23" s="154"/>
      <c r="D23" s="155"/>
      <c r="E23" s="156"/>
      <c r="F23" s="156"/>
      <c r="G23" s="156"/>
      <c r="H23" s="156"/>
      <c r="I23" s="157">
        <f>I21</f>
        <v>8722.5603973247307</v>
      </c>
      <c r="J23" s="158">
        <f>I23/($T$2*$U$2)</f>
        <v>1.1022797853364923</v>
      </c>
      <c r="K23" s="214" t="s">
        <v>234</v>
      </c>
      <c r="L23" s="215"/>
      <c r="M23" s="216" t="s">
        <v>415</v>
      </c>
      <c r="N23" s="217"/>
      <c r="O23" s="163"/>
      <c r="P23" s="163"/>
      <c r="Q23" s="163"/>
      <c r="R23" s="163"/>
      <c r="S23" s="163"/>
    </row>
    <row r="24" spans="1:43" s="146" customFormat="1" ht="34.9" customHeight="1" x14ac:dyDescent="0.25">
      <c r="A24" s="153" t="s">
        <v>276</v>
      </c>
      <c r="B24" s="153">
        <v>600</v>
      </c>
      <c r="C24" s="44">
        <f t="shared" ref="C24:C29" si="8">$L$20*(B24/SUM($B$7:$B$12))</f>
        <v>469.85210318204878</v>
      </c>
      <c r="D24" s="165">
        <f>C24*$Q$3</f>
        <v>459.98520901522573</v>
      </c>
      <c r="E24" s="156">
        <f>D24*1000000</f>
        <v>459985209.01522571</v>
      </c>
      <c r="F24" s="156">
        <f t="shared" ref="F24:F30" si="9">FV($L$1,$L$22,,-E24,1)</f>
        <v>620451119.35061061</v>
      </c>
      <c r="G24" s="156">
        <f t="shared" ref="G24:G30" si="10">PMT($L$3,$L$22,,-F24,1)</f>
        <v>4875821.9372296073</v>
      </c>
      <c r="H24" s="156" cm="1">
        <f t="array" aca="1" ref="H24" ca="1">SUM(G24*(1+$L$3)^ROW(INDIRECT("1:"&amp;$L$22)))</f>
        <v>620451119.35060954</v>
      </c>
      <c r="I24" s="157">
        <f>G24/(SUM(B24))</f>
        <v>8126.3698953826788</v>
      </c>
      <c r="J24" s="158">
        <f>I24/($T$2*$U$2)</f>
        <v>1.0269385198633523</v>
      </c>
      <c r="K24" s="99" t="s">
        <v>3</v>
      </c>
      <c r="L24" s="43">
        <f ca="1">MIN(I20:I34)</f>
        <v>8126.3698953826752</v>
      </c>
      <c r="M24" s="99" t="s">
        <v>3</v>
      </c>
      <c r="N24" s="81">
        <f ca="1">MIN(J20:J34)</f>
        <v>1.0269385198633518</v>
      </c>
      <c r="O24" s="163"/>
      <c r="P24" s="163"/>
      <c r="Q24" s="163"/>
      <c r="R24" s="163"/>
      <c r="S24" s="163"/>
    </row>
    <row r="25" spans="1:43" s="146" customFormat="1" ht="34.9" customHeight="1" x14ac:dyDescent="0.25">
      <c r="A25" s="153" t="s">
        <v>277</v>
      </c>
      <c r="B25" s="153">
        <v>1121</v>
      </c>
      <c r="C25" s="44">
        <f t="shared" si="8"/>
        <v>877.84034611179447</v>
      </c>
      <c r="D25" s="165">
        <f t="shared" ref="D25:D29" si="11">C25*$Q$3</f>
        <v>859.40569884344677</v>
      </c>
      <c r="E25" s="156">
        <f t="shared" ref="E25:E30" si="12">D25*1000000</f>
        <v>859405698.84344673</v>
      </c>
      <c r="F25" s="156">
        <f t="shared" si="9"/>
        <v>1159209507.9867241</v>
      </c>
      <c r="G25" s="156">
        <f t="shared" si="10"/>
        <v>9109660.6527239792</v>
      </c>
      <c r="H25" s="156" cm="1">
        <f t="array" aca="1" ref="H25" ca="1">SUM(G25*(1+$L$3)^ROW(INDIRECT("1:"&amp;$L$22)))</f>
        <v>1159209507.9867215</v>
      </c>
      <c r="I25" s="157">
        <f t="shared" ref="I25:I29" si="13">G25/(SUM(B25))</f>
        <v>8126.3698953826752</v>
      </c>
      <c r="J25" s="158">
        <f t="shared" ref="J25:J29" si="14">I25/($T$2*$U$2)</f>
        <v>1.0269385198633518</v>
      </c>
      <c r="K25" s="99" t="s">
        <v>20</v>
      </c>
      <c r="L25" s="43">
        <f ca="1">AVERAGE(I20:I34)</f>
        <v>11650.807974206231</v>
      </c>
      <c r="M25" s="99" t="s">
        <v>20</v>
      </c>
      <c r="N25" s="81">
        <f ca="1">AVERAGE(J20:J34)</f>
        <v>1.4690800957906376</v>
      </c>
      <c r="O25" s="163"/>
      <c r="P25" s="163"/>
      <c r="Q25" s="163"/>
      <c r="R25" s="163"/>
      <c r="S25" s="163"/>
    </row>
    <row r="26" spans="1:43" s="146" customFormat="1" ht="34.9" customHeight="1" x14ac:dyDescent="0.25">
      <c r="A26" s="153" t="s">
        <v>278</v>
      </c>
      <c r="B26" s="153">
        <v>1172</v>
      </c>
      <c r="C26" s="44">
        <f t="shared" si="8"/>
        <v>917.77777488226866</v>
      </c>
      <c r="D26" s="165">
        <f t="shared" si="11"/>
        <v>898.50444160974098</v>
      </c>
      <c r="E26" s="156">
        <f t="shared" si="12"/>
        <v>898504441.60974097</v>
      </c>
      <c r="F26" s="156">
        <f t="shared" si="9"/>
        <v>1211947853.131526</v>
      </c>
      <c r="G26" s="156">
        <f t="shared" si="10"/>
        <v>9524105.5173884984</v>
      </c>
      <c r="H26" s="156" cm="1">
        <f t="array" aca="1" ref="H26" ca="1">SUM(G26*(1+$L$3)^ROW(INDIRECT("1:"&amp;$L$22)))</f>
        <v>1211947853.1315238</v>
      </c>
      <c r="I26" s="157">
        <f t="shared" si="13"/>
        <v>8126.3698953826779</v>
      </c>
      <c r="J26" s="158">
        <f t="shared" si="14"/>
        <v>1.0269385198633521</v>
      </c>
      <c r="K26" s="99" t="s">
        <v>5</v>
      </c>
      <c r="L26" s="43">
        <f ca="1">MAX(I20:I34)</f>
        <v>33407.380941185198</v>
      </c>
      <c r="M26" s="99" t="s">
        <v>5</v>
      </c>
      <c r="N26" s="81">
        <f ca="1">MAX(J20:J34)</f>
        <v>4.2217283704677246</v>
      </c>
      <c r="O26" s="163"/>
      <c r="P26" s="163"/>
      <c r="Q26" s="163"/>
      <c r="R26" s="163"/>
      <c r="S26" s="163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</row>
    <row r="27" spans="1:43" s="146" customFormat="1" ht="34.9" customHeight="1" x14ac:dyDescent="0.25">
      <c r="A27" s="153" t="s">
        <v>279</v>
      </c>
      <c r="B27" s="153">
        <v>1400</v>
      </c>
      <c r="C27" s="44">
        <f t="shared" si="8"/>
        <v>1096.3215740914472</v>
      </c>
      <c r="D27" s="165">
        <f t="shared" si="11"/>
        <v>1073.2988210355268</v>
      </c>
      <c r="E27" s="156">
        <f t="shared" si="12"/>
        <v>1073298821.0355268</v>
      </c>
      <c r="F27" s="156">
        <f t="shared" si="9"/>
        <v>1447719278.4847581</v>
      </c>
      <c r="G27" s="156">
        <f t="shared" si="10"/>
        <v>11376917.853535749</v>
      </c>
      <c r="H27" s="156" cm="1">
        <f t="array" aca="1" ref="H27" ca="1">SUM(G27*(1+$L$3)^ROW(INDIRECT("1:"&amp;$L$22)))</f>
        <v>1447719278.484755</v>
      </c>
      <c r="I27" s="157">
        <f t="shared" si="13"/>
        <v>8126.3698953826779</v>
      </c>
      <c r="J27" s="158">
        <f t="shared" si="14"/>
        <v>1.0269385198633521</v>
      </c>
      <c r="K27" s="100" t="s">
        <v>266</v>
      </c>
      <c r="L27" s="39">
        <f ca="1">$L$24</f>
        <v>8126.3698953826752</v>
      </c>
      <c r="M27" s="100" t="s">
        <v>266</v>
      </c>
      <c r="N27" s="101">
        <f ca="1">$N$24</f>
        <v>1.0269385198633518</v>
      </c>
      <c r="O27" s="163"/>
      <c r="P27" s="163"/>
      <c r="Q27" s="163"/>
      <c r="R27" s="163"/>
      <c r="S27" s="163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</row>
    <row r="28" spans="1:43" s="146" customFormat="1" ht="34.9" customHeight="1" x14ac:dyDescent="0.25">
      <c r="A28" s="153" t="s">
        <v>280</v>
      </c>
      <c r="B28" s="153">
        <v>1081</v>
      </c>
      <c r="C28" s="44">
        <f t="shared" si="8"/>
        <v>846.51687256632454</v>
      </c>
      <c r="D28" s="165">
        <f t="shared" si="11"/>
        <v>828.74001824243169</v>
      </c>
      <c r="E28" s="156">
        <f t="shared" si="12"/>
        <v>828740018.24243164</v>
      </c>
      <c r="F28" s="156">
        <f t="shared" si="9"/>
        <v>1117846100.0300167</v>
      </c>
      <c r="G28" s="156">
        <f t="shared" si="10"/>
        <v>8784605.8569086734</v>
      </c>
      <c r="H28" s="156" cm="1">
        <f t="array" aca="1" ref="H28" ca="1">SUM(G28*(1+$L$3)^ROW(INDIRECT("1:"&amp;$L$22)))</f>
        <v>1117846100.0300143</v>
      </c>
      <c r="I28" s="157">
        <f t="shared" si="13"/>
        <v>8126.369895382677</v>
      </c>
      <c r="J28" s="158">
        <f t="shared" si="14"/>
        <v>1.0269385198633521</v>
      </c>
      <c r="K28" s="100" t="s">
        <v>267</v>
      </c>
      <c r="L28" s="39">
        <f ca="1">$L$8</f>
        <v>58991.718031717508</v>
      </c>
      <c r="M28" s="100" t="s">
        <v>267</v>
      </c>
      <c r="N28" s="101">
        <f ca="1">$N$26</f>
        <v>4.2217283704677246</v>
      </c>
      <c r="O28" s="163"/>
      <c r="P28" s="163"/>
      <c r="Q28" s="163"/>
      <c r="R28" s="163"/>
      <c r="S28" s="163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</row>
    <row r="29" spans="1:43" s="146" customFormat="1" ht="34.9" customHeight="1" x14ac:dyDescent="0.25">
      <c r="A29" s="153" t="s">
        <v>281</v>
      </c>
      <c r="B29" s="153">
        <v>1130</v>
      </c>
      <c r="C29" s="44">
        <f t="shared" si="8"/>
        <v>884.88812765952525</v>
      </c>
      <c r="D29" s="165">
        <f t="shared" si="11"/>
        <v>866.30547697867519</v>
      </c>
      <c r="E29" s="156">
        <f t="shared" si="12"/>
        <v>866305476.97867525</v>
      </c>
      <c r="F29" s="156">
        <f t="shared" si="9"/>
        <v>1168516274.7769835</v>
      </c>
      <c r="G29" s="156">
        <f t="shared" si="10"/>
        <v>9182797.9817824271</v>
      </c>
      <c r="H29" s="156" cm="1">
        <f t="array" aca="1" ref="H29" ca="1">SUM(G29*(1+$L$3)^ROW(INDIRECT("1:"&amp;$L$22)))</f>
        <v>1168516274.7769809</v>
      </c>
      <c r="I29" s="157">
        <f t="shared" si="13"/>
        <v>8126.3698953826788</v>
      </c>
      <c r="J29" s="158">
        <f t="shared" si="14"/>
        <v>1.0269385198633523</v>
      </c>
      <c r="K29" s="163"/>
      <c r="L29" s="163"/>
      <c r="M29" s="163"/>
      <c r="N29" s="163"/>
      <c r="O29" s="163"/>
      <c r="P29" s="163"/>
      <c r="Q29" s="163"/>
      <c r="R29" s="163"/>
      <c r="S29" s="163"/>
      <c r="V29" s="197"/>
      <c r="W29" s="197"/>
      <c r="X29" s="197"/>
      <c r="Y29" s="197"/>
      <c r="Z29" s="197"/>
      <c r="AA29" s="197"/>
      <c r="AB29" s="197"/>
      <c r="AC29" s="197"/>
      <c r="AD29" s="197"/>
      <c r="AE29" s="197"/>
      <c r="AF29" s="197"/>
      <c r="AG29" s="197"/>
      <c r="AH29" s="197"/>
      <c r="AI29" s="197"/>
      <c r="AJ29" s="197"/>
      <c r="AK29" s="197"/>
      <c r="AL29" s="197"/>
      <c r="AM29" s="197"/>
      <c r="AN29" s="197"/>
      <c r="AO29" s="197"/>
    </row>
    <row r="30" spans="1:43" s="146" customFormat="1" ht="34.9" customHeight="1" x14ac:dyDescent="0.25">
      <c r="A30" s="170" t="s">
        <v>255</v>
      </c>
      <c r="B30" s="113">
        <v>696</v>
      </c>
      <c r="C30" s="171" t="str">
        <f t="shared" ref="C30:D30" si="15">C13</f>
        <v>1845 (2024)</v>
      </c>
      <c r="D30" s="165">
        <f t="shared" si="15"/>
        <v>1845</v>
      </c>
      <c r="E30" s="156">
        <f t="shared" si="12"/>
        <v>1845000000</v>
      </c>
      <c r="F30" s="156">
        <f t="shared" si="9"/>
        <v>2488628531.4534655</v>
      </c>
      <c r="G30" s="156">
        <f t="shared" si="10"/>
        <v>19556914.652642358</v>
      </c>
      <c r="H30" s="156" cm="1">
        <f t="array" aca="1" ref="H30" ca="1">SUM(G30*(1+$L$3)^ROW(INDIRECT("1:"&amp;$L$22)))</f>
        <v>2488628531.4534607</v>
      </c>
      <c r="I30" s="157">
        <f>G30/(SUM(B30))</f>
        <v>28099.015305520628</v>
      </c>
      <c r="J30" s="158">
        <f>I30/($S$2*$U$2)</f>
        <v>3.5640557211467057</v>
      </c>
      <c r="K30" s="166" t="s">
        <v>257</v>
      </c>
      <c r="L30" s="167">
        <f>AVERAGE((306+147),(317+172),(394+198))</f>
        <v>511.33333333333331</v>
      </c>
      <c r="M30" s="168" t="s">
        <v>282</v>
      </c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  <c r="AL30" s="197"/>
      <c r="AM30" s="197"/>
      <c r="AN30" s="197"/>
      <c r="AO30" s="197"/>
    </row>
    <row r="31" spans="1:43" s="146" customFormat="1" ht="34.9" customHeight="1" x14ac:dyDescent="0.25">
      <c r="A31" s="170" t="s">
        <v>256</v>
      </c>
      <c r="B31" s="113">
        <f>1250</f>
        <v>1250</v>
      </c>
      <c r="C31" s="113" t="s">
        <v>435</v>
      </c>
      <c r="D31" s="172">
        <f>3227*C74</f>
        <v>1041.5861386138615</v>
      </c>
      <c r="E31" s="156">
        <f>D31*1000000</f>
        <v>1041586138.6138616</v>
      </c>
      <c r="F31" s="156">
        <f>FV($S$3,$L$22,,-E31,1)</f>
        <v>1041586138.6138616</v>
      </c>
      <c r="G31" s="156">
        <f>PMT($S$4,$L$22,,-F31,1)</f>
        <v>10665664.966271874</v>
      </c>
      <c r="H31" s="156" cm="1">
        <f t="array" aca="1" ref="H31" ca="1">SUM(G31*(1+$S$4)^ROW(INDIRECT("1:"&amp;$L$22)))</f>
        <v>1041586138.6138561</v>
      </c>
      <c r="I31" s="157">
        <f>G31/(SUM(B31))</f>
        <v>8532.5319730174997</v>
      </c>
      <c r="J31" s="158">
        <f>I31/($R$2*$U$2)</f>
        <v>1.0473476669388593</v>
      </c>
      <c r="K31" s="163"/>
      <c r="L31" s="163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  <c r="AL31" s="197"/>
      <c r="AM31" s="197"/>
      <c r="AN31" s="197"/>
      <c r="AO31" s="197"/>
    </row>
    <row r="32" spans="1:43" s="146" customFormat="1" ht="34.9" customHeight="1" x14ac:dyDescent="0.25">
      <c r="A32" s="170" t="s">
        <v>256</v>
      </c>
      <c r="B32" s="113">
        <f>1250</f>
        <v>1250</v>
      </c>
      <c r="C32" s="113" t="s">
        <v>435</v>
      </c>
      <c r="D32" s="172">
        <f>3227*C74</f>
        <v>1041.5861386138615</v>
      </c>
      <c r="E32" s="156">
        <f>D32*1000000</f>
        <v>1041586138.6138616</v>
      </c>
      <c r="F32" s="156">
        <f>FV($S$3,$L$22,,-E32,1)</f>
        <v>1041586138.6138616</v>
      </c>
      <c r="G32" s="156">
        <f>PMT($S$4,$L$22,,-F32,1)</f>
        <v>10665664.966271874</v>
      </c>
      <c r="H32" s="156" cm="1">
        <f t="array" aca="1" ref="H32" ca="1">SUM(G32*(1+$S$4)^ROW(INDIRECT("1:"&amp;$L$22)))</f>
        <v>1041586138.6138561</v>
      </c>
      <c r="I32" s="157">
        <f>G32/(SUM(B32))</f>
        <v>8532.5319730174997</v>
      </c>
      <c r="J32" s="158">
        <f>I32/($R$2*$U$2)</f>
        <v>1.0473476669388593</v>
      </c>
      <c r="K32" s="163"/>
      <c r="L32" s="163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  <c r="AL32" s="197"/>
      <c r="AM32" s="197"/>
      <c r="AN32" s="197"/>
      <c r="AO32" s="197"/>
    </row>
    <row r="33" spans="1:45" s="146" customFormat="1" ht="34.9" customHeight="1" x14ac:dyDescent="0.25">
      <c r="A33" s="173" t="s">
        <v>253</v>
      </c>
      <c r="B33" s="113">
        <v>1010</v>
      </c>
      <c r="C33" s="153" t="s">
        <v>436</v>
      </c>
      <c r="D33" s="165">
        <f>4751*$N$3*$L$12</f>
        <v>3183.17</v>
      </c>
      <c r="E33" s="156">
        <f>D33*1000000</f>
        <v>3183170000</v>
      </c>
      <c r="F33" s="156">
        <f>FV($L$1,$L$22,,-E33,1)</f>
        <v>4293619340.0903673</v>
      </c>
      <c r="G33" s="156">
        <f>PMT($L$3,$L$22,,-F33,1)</f>
        <v>33741454.750597052</v>
      </c>
      <c r="H33" s="156" cm="1">
        <f t="array" aca="1" ref="H33" ca="1">SUM(G33*(1+$L$3)^ROW(INDIRECT("1:"&amp;$L$22)))</f>
        <v>4293619340.0903592</v>
      </c>
      <c r="I33" s="157">
        <f>G33/(SUM(B33))</f>
        <v>33407.380941185198</v>
      </c>
      <c r="J33" s="158">
        <f>I33/($T$2*$U$2)</f>
        <v>4.2217283704677246</v>
      </c>
      <c r="K33" s="163"/>
      <c r="L33" s="163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  <c r="AF33" s="197"/>
      <c r="AG33" s="197"/>
      <c r="AH33" s="197"/>
      <c r="AI33" s="197"/>
      <c r="AJ33" s="197"/>
      <c r="AK33" s="197"/>
      <c r="AL33" s="197"/>
      <c r="AM33" s="197"/>
      <c r="AN33" s="197"/>
      <c r="AO33" s="197"/>
    </row>
    <row r="34" spans="1:45" s="146" customFormat="1" ht="34.9" customHeight="1" x14ac:dyDescent="0.25">
      <c r="A34" s="153" t="s">
        <v>394</v>
      </c>
      <c r="B34" s="153"/>
      <c r="C34" s="153"/>
      <c r="D34" s="165"/>
      <c r="E34" s="156"/>
      <c r="F34" s="156"/>
      <c r="G34" s="156"/>
      <c r="H34" s="156"/>
      <c r="I34" s="157">
        <f ca="1">$C$87</f>
        <v>12542.198458757643</v>
      </c>
      <c r="J34" s="158">
        <f ca="1">I34/($T$2*$U$2)</f>
        <v>1.5849717508413339</v>
      </c>
      <c r="K34" s="163"/>
      <c r="L34" s="178"/>
      <c r="V34" s="197"/>
      <c r="W34" s="197"/>
      <c r="X34" s="197"/>
      <c r="Y34" s="197"/>
      <c r="Z34" s="197"/>
      <c r="AA34" s="197"/>
      <c r="AB34" s="197"/>
      <c r="AC34" s="197"/>
      <c r="AD34" s="197"/>
      <c r="AE34" s="197"/>
      <c r="AF34" s="197"/>
      <c r="AG34" s="197"/>
      <c r="AH34" s="197"/>
      <c r="AI34" s="197"/>
      <c r="AJ34" s="197"/>
      <c r="AK34" s="197"/>
      <c r="AL34" s="197"/>
      <c r="AM34" s="197"/>
      <c r="AN34" s="197"/>
      <c r="AO34" s="197"/>
    </row>
    <row r="35" spans="1:45" s="146" customFormat="1" ht="34.9" customHeight="1" x14ac:dyDescent="0.25">
      <c r="A35" s="176" t="s">
        <v>262</v>
      </c>
      <c r="B35" s="176"/>
      <c r="C35" s="176"/>
      <c r="D35" s="176"/>
      <c r="E35" s="176"/>
      <c r="F35" s="176"/>
      <c r="G35" s="176"/>
      <c r="H35" s="176"/>
      <c r="I35" s="176"/>
      <c r="J35" s="176"/>
      <c r="K35" s="163"/>
      <c r="L35" s="163"/>
      <c r="V35" s="197"/>
      <c r="W35" s="197"/>
      <c r="X35" s="197"/>
      <c r="Y35" s="197"/>
      <c r="Z35" s="197"/>
      <c r="AA35" s="197"/>
      <c r="AB35" s="197"/>
      <c r="AC35" s="197"/>
      <c r="AD35" s="197"/>
      <c r="AE35" s="197"/>
      <c r="AF35" s="197"/>
      <c r="AG35" s="197"/>
      <c r="AH35" s="197"/>
      <c r="AI35" s="197"/>
      <c r="AJ35" s="197"/>
      <c r="AK35" s="197"/>
      <c r="AL35" s="197"/>
      <c r="AM35" s="197"/>
      <c r="AN35" s="197"/>
      <c r="AO35" s="197"/>
    </row>
    <row r="36" spans="1:45" s="146" customFormat="1" ht="34.9" customHeight="1" x14ac:dyDescent="0.25">
      <c r="A36" s="148" t="str">
        <f>A19</f>
        <v>Jedrska elektrarna</v>
      </c>
      <c r="B36" s="148" t="str">
        <f>B19</f>
        <v>Moč reaktorja (MW)</v>
      </c>
      <c r="C36" s="148" t="str">
        <f>C19</f>
        <v>Cena ravnanja z odpadki 2020-2023 (mio. €)</v>
      </c>
      <c r="D36" s="148" t="str">
        <f>D19</f>
        <v>Cena ravnanja z odpadki 2024 (mio. €)</v>
      </c>
      <c r="E36" s="148" t="str">
        <f>E19</f>
        <v>Cena ravnanja z odpadki 2024 [EUR]</v>
      </c>
      <c r="F36" s="148" t="s">
        <v>263</v>
      </c>
      <c r="G36" s="148" t="s">
        <v>264</v>
      </c>
      <c r="H36" s="148" t="s">
        <v>233</v>
      </c>
      <c r="I36" s="149" t="s">
        <v>234</v>
      </c>
      <c r="J36" s="149" t="s">
        <v>415</v>
      </c>
      <c r="K36" s="176" t="s">
        <v>259</v>
      </c>
      <c r="L36" s="176">
        <v>80</v>
      </c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97"/>
      <c r="AO36" s="197"/>
    </row>
    <row r="37" spans="1:45" s="146" customFormat="1" ht="34.9" customHeight="1" x14ac:dyDescent="0.25">
      <c r="A37" s="153" t="s">
        <v>274</v>
      </c>
      <c r="B37" s="153">
        <v>507</v>
      </c>
      <c r="C37" s="154">
        <f>$L$17*(B37/SUM(B37:B38))</f>
        <v>426.15273775216139</v>
      </c>
      <c r="D37" s="155">
        <f>C37*$Q$3</f>
        <v>417.203530259366</v>
      </c>
      <c r="E37" s="156">
        <f>D37*1000000</f>
        <v>417203530.25936598</v>
      </c>
      <c r="F37" s="156">
        <f>FV($L$1,$L$36,,-E37,1)</f>
        <v>621774511.78427207</v>
      </c>
      <c r="G37" s="156">
        <f>PMT($L$3,$L$36,,-F37,1)</f>
        <v>2775187.9298315486</v>
      </c>
      <c r="H37" s="156" cm="1">
        <f t="array" aca="1" ref="H37" ca="1">SUM(G37*(1+$L$3)^ROW(INDIRECT("1:"&amp;$L$36)))</f>
        <v>621774511.78427041</v>
      </c>
      <c r="I37" s="157">
        <f>G37/(SUM(B37))</f>
        <v>5473.7434513442777</v>
      </c>
      <c r="J37" s="158">
        <f>I37/($T$2*$U$2)</f>
        <v>0.69172312734977981</v>
      </c>
      <c r="K37" s="214" t="s">
        <v>234</v>
      </c>
      <c r="L37" s="215"/>
      <c r="M37" s="216" t="s">
        <v>415</v>
      </c>
      <c r="N37" s="217"/>
      <c r="O37" s="163"/>
    </row>
    <row r="38" spans="1:45" s="146" customFormat="1" ht="34.9" customHeight="1" x14ac:dyDescent="0.25">
      <c r="A38" s="153" t="s">
        <v>275</v>
      </c>
      <c r="B38" s="153">
        <v>1575</v>
      </c>
      <c r="C38" s="154">
        <f>$L$17*(B38/SUM(B37:B38))</f>
        <v>1323.8472622478384</v>
      </c>
      <c r="D38" s="155">
        <f>C38*$Q$3</f>
        <v>1296.0464697406337</v>
      </c>
      <c r="E38" s="156">
        <f>D38*1000000</f>
        <v>1296046469.7406337</v>
      </c>
      <c r="F38" s="156">
        <f>FV($L$1,$L$36,,-E38,1)</f>
        <v>1931548039.5665252</v>
      </c>
      <c r="G38" s="156">
        <f>PMT($L$3,$L$36,,-F38,1)</f>
        <v>8621145.9358672351</v>
      </c>
      <c r="H38" s="156" cm="1">
        <f t="array" aca="1" ref="H38" ca="1">SUM(G38*(1+$L$3)^ROW(INDIRECT("1:"&amp;$L$36)))</f>
        <v>1931548039.56652</v>
      </c>
      <c r="I38" s="157">
        <f>G38/(SUM(B38))</f>
        <v>5473.7434513442759</v>
      </c>
      <c r="J38" s="158">
        <f>I38/($T$2*$U$2)</f>
        <v>0.69172312734977959</v>
      </c>
      <c r="K38" s="99" t="s">
        <v>3</v>
      </c>
      <c r="L38" s="43">
        <f ca="1">MIN(I37:I51)</f>
        <v>5099.6108908222677</v>
      </c>
      <c r="M38" s="99" t="s">
        <v>3</v>
      </c>
      <c r="N38" s="81">
        <f ca="1">MIN(J37:J51)</f>
        <v>0.64444357413211695</v>
      </c>
      <c r="O38" s="111" t="s">
        <v>437</v>
      </c>
    </row>
    <row r="39" spans="1:45" s="146" customFormat="1" ht="34.9" customHeight="1" x14ac:dyDescent="0.25">
      <c r="A39" s="153" t="str">
        <f>A37</f>
        <v>Loviisa-2 (Finska)</v>
      </c>
      <c r="B39" s="153"/>
      <c r="C39" s="154"/>
      <c r="D39" s="155"/>
      <c r="E39" s="156"/>
      <c r="F39" s="156"/>
      <c r="G39" s="156"/>
      <c r="H39" s="156"/>
      <c r="I39" s="157">
        <f>I37</f>
        <v>5473.7434513442777</v>
      </c>
      <c r="J39" s="158">
        <f>I39/($T$2*$U$2)</f>
        <v>0.69172312734977981</v>
      </c>
      <c r="K39" s="99" t="s">
        <v>20</v>
      </c>
      <c r="L39" s="43">
        <f ca="1">AVERAGE(I37:I51)</f>
        <v>7314.1828903439082</v>
      </c>
      <c r="M39" s="99" t="s">
        <v>20</v>
      </c>
      <c r="N39" s="81">
        <f ca="1">AVERAGE(J37:J51)</f>
        <v>0.92034361232492212</v>
      </c>
      <c r="O39" s="111">
        <f>2*0.3</f>
        <v>0.6</v>
      </c>
    </row>
    <row r="40" spans="1:45" s="146" customFormat="1" ht="34.9" customHeight="1" x14ac:dyDescent="0.25">
      <c r="A40" s="153" t="str">
        <f>A38</f>
        <v>Olkiluoto-3 (Finska)</v>
      </c>
      <c r="B40" s="153"/>
      <c r="C40" s="154"/>
      <c r="D40" s="155"/>
      <c r="E40" s="156"/>
      <c r="F40" s="156"/>
      <c r="G40" s="156"/>
      <c r="H40" s="156"/>
      <c r="I40" s="157">
        <f>I38</f>
        <v>5473.7434513442759</v>
      </c>
      <c r="J40" s="158">
        <f>I40/($T$2*$U$2)</f>
        <v>0.69172312734977959</v>
      </c>
      <c r="K40" s="99" t="s">
        <v>5</v>
      </c>
      <c r="L40" s="43">
        <f ca="1">MAX(I37:I51)</f>
        <v>20964.421491361827</v>
      </c>
      <c r="M40" s="99" t="s">
        <v>5</v>
      </c>
      <c r="N40" s="81">
        <f ca="1">MAX(J37:J51)</f>
        <v>2.6492975650004835</v>
      </c>
      <c r="O40" s="163"/>
    </row>
    <row r="41" spans="1:45" s="146" customFormat="1" ht="34.9" customHeight="1" x14ac:dyDescent="0.25">
      <c r="A41" s="153" t="s">
        <v>276</v>
      </c>
      <c r="B41" s="153">
        <v>600</v>
      </c>
      <c r="C41" s="44">
        <f t="shared" ref="C41:C46" si="16">$L$20*(B41/SUM($B$7:$B$12))</f>
        <v>469.85210318204878</v>
      </c>
      <c r="D41" s="165">
        <f>C41*$Q$3</f>
        <v>459.98520901522573</v>
      </c>
      <c r="E41" s="156">
        <f>D41*1000000</f>
        <v>459985209.01522571</v>
      </c>
      <c r="F41" s="156">
        <f t="shared" ref="F41:F47" si="17">FV($L$1,$L$36,,-E41,1)</f>
        <v>685533697.63104403</v>
      </c>
      <c r="G41" s="156">
        <f t="shared" ref="G41:G47" si="18">PMT($L$3,$L$36,,-F41,1)</f>
        <v>3059766.5344933625</v>
      </c>
      <c r="H41" s="156" cm="1">
        <f t="array" aca="1" ref="H41" ca="1">SUM(G41*(1+$L$3)^ROW(INDIRECT("1:"&amp;$L$36)))</f>
        <v>685533697.63104236</v>
      </c>
      <c r="I41" s="157">
        <f>G41/(SUM(B41))</f>
        <v>5099.6108908222704</v>
      </c>
      <c r="J41" s="158">
        <f>I41/($T$2*$U$2)</f>
        <v>0.64444357413211728</v>
      </c>
      <c r="K41" s="100" t="s">
        <v>266</v>
      </c>
      <c r="L41" s="39">
        <f ca="1">$L$38</f>
        <v>5099.6108908222677</v>
      </c>
      <c r="M41" s="100" t="s">
        <v>266</v>
      </c>
      <c r="N41" s="101">
        <f ca="1">$N$38</f>
        <v>0.64444357413211695</v>
      </c>
      <c r="O41" s="163"/>
    </row>
    <row r="42" spans="1:45" s="146" customFormat="1" ht="34.9" customHeight="1" x14ac:dyDescent="0.25">
      <c r="A42" s="153" t="s">
        <v>277</v>
      </c>
      <c r="B42" s="153">
        <v>1121</v>
      </c>
      <c r="C42" s="44">
        <f t="shared" si="16"/>
        <v>877.84034611179447</v>
      </c>
      <c r="D42" s="165">
        <f t="shared" ref="D42:D46" si="19">C42*$Q$3</f>
        <v>859.40569884344677</v>
      </c>
      <c r="E42" s="156">
        <f t="shared" ref="E42:E47" si="20">D42*1000000</f>
        <v>859405698.84344673</v>
      </c>
      <c r="F42" s="156">
        <f t="shared" si="17"/>
        <v>1280805458.4073339</v>
      </c>
      <c r="G42" s="156">
        <f t="shared" si="18"/>
        <v>5716663.8086117618</v>
      </c>
      <c r="H42" s="156" cm="1">
        <f t="array" aca="1" ref="H42" ca="1">SUM(G42*(1+$L$3)^ROW(INDIRECT("1:"&amp;$L$36)))</f>
        <v>1280805458.4073298</v>
      </c>
      <c r="I42" s="157">
        <f t="shared" ref="I42:I46" si="21">G42/(SUM(B42))</f>
        <v>5099.6108908222677</v>
      </c>
      <c r="J42" s="158">
        <f t="shared" ref="J42:J46" si="22">I42/($T$2*$U$2)</f>
        <v>0.64444357413211695</v>
      </c>
      <c r="K42" s="100" t="s">
        <v>267</v>
      </c>
      <c r="L42" s="39">
        <f ca="1">$L40</f>
        <v>20964.421491361827</v>
      </c>
      <c r="M42" s="100" t="s">
        <v>267</v>
      </c>
      <c r="N42" s="101">
        <f ca="1">$N$40</f>
        <v>2.6492975650004835</v>
      </c>
      <c r="AN42" s="213"/>
      <c r="AO42" s="213"/>
      <c r="AP42" s="213"/>
      <c r="AQ42" s="213"/>
      <c r="AR42" s="213"/>
      <c r="AS42" s="213"/>
    </row>
    <row r="43" spans="1:45" s="146" customFormat="1" ht="34.9" customHeight="1" x14ac:dyDescent="0.25">
      <c r="A43" s="153" t="s">
        <v>278</v>
      </c>
      <c r="B43" s="153">
        <v>1172</v>
      </c>
      <c r="C43" s="44">
        <f t="shared" si="16"/>
        <v>917.77777488226866</v>
      </c>
      <c r="D43" s="165">
        <f t="shared" si="19"/>
        <v>898.50444160974098</v>
      </c>
      <c r="E43" s="156">
        <f t="shared" si="20"/>
        <v>898504441.60974097</v>
      </c>
      <c r="F43" s="156">
        <f t="shared" si="17"/>
        <v>1339075822.7059727</v>
      </c>
      <c r="G43" s="156">
        <f t="shared" si="18"/>
        <v>5976743.9640437011</v>
      </c>
      <c r="H43" s="156" cm="1">
        <f t="array" aca="1" ref="H43" ca="1">SUM(G43*(1+$L$3)^ROW(INDIRECT("1:"&amp;$L$36)))</f>
        <v>1339075822.7059691</v>
      </c>
      <c r="I43" s="157">
        <f t="shared" si="21"/>
        <v>5099.6108908222704</v>
      </c>
      <c r="J43" s="158">
        <f t="shared" si="22"/>
        <v>0.64444357413211728</v>
      </c>
    </row>
    <row r="44" spans="1:45" s="146" customFormat="1" ht="34.9" customHeight="1" x14ac:dyDescent="0.25">
      <c r="A44" s="153" t="s">
        <v>279</v>
      </c>
      <c r="B44" s="153">
        <v>1400</v>
      </c>
      <c r="C44" s="44">
        <f t="shared" si="16"/>
        <v>1096.3215740914472</v>
      </c>
      <c r="D44" s="165">
        <f t="shared" si="19"/>
        <v>1073.2988210355268</v>
      </c>
      <c r="E44" s="156">
        <f t="shared" si="20"/>
        <v>1073298821.0355268</v>
      </c>
      <c r="F44" s="156">
        <f t="shared" si="17"/>
        <v>1599578627.8057694</v>
      </c>
      <c r="G44" s="156">
        <f t="shared" si="18"/>
        <v>7139455.2471511792</v>
      </c>
      <c r="H44" s="156" cm="1">
        <f t="array" aca="1" ref="H44" ca="1">SUM(G44*(1+$L$3)^ROW(INDIRECT("1:"&amp;$L$36)))</f>
        <v>1599578627.8057656</v>
      </c>
      <c r="I44" s="157">
        <f t="shared" si="21"/>
        <v>5099.6108908222704</v>
      </c>
      <c r="J44" s="158">
        <f t="shared" si="22"/>
        <v>0.64444357413211728</v>
      </c>
      <c r="K44" s="166" t="s">
        <v>257</v>
      </c>
      <c r="L44" s="167">
        <f>AVERAGE((306+147),(317+172),(394+198))</f>
        <v>511.33333333333331</v>
      </c>
      <c r="M44" s="168" t="s">
        <v>282</v>
      </c>
    </row>
    <row r="45" spans="1:45" s="146" customFormat="1" ht="34.9" customHeight="1" x14ac:dyDescent="0.25">
      <c r="A45" s="153" t="s">
        <v>280</v>
      </c>
      <c r="B45" s="153">
        <v>1081</v>
      </c>
      <c r="C45" s="44">
        <f t="shared" si="16"/>
        <v>846.51687256632454</v>
      </c>
      <c r="D45" s="165">
        <f t="shared" si="19"/>
        <v>828.74001824243169</v>
      </c>
      <c r="E45" s="156">
        <f t="shared" si="20"/>
        <v>828740018.24243164</v>
      </c>
      <c r="F45" s="156">
        <f t="shared" si="17"/>
        <v>1235103211.8985975</v>
      </c>
      <c r="G45" s="156">
        <f t="shared" si="18"/>
        <v>5512679.3729788736</v>
      </c>
      <c r="H45" s="156" cm="1">
        <f t="array" aca="1" ref="H45" ca="1">SUM(G45*(1+$L$3)^ROW(INDIRECT("1:"&amp;$L$36)))</f>
        <v>1235103211.8985944</v>
      </c>
      <c r="I45" s="157">
        <f t="shared" si="21"/>
        <v>5099.6108908222695</v>
      </c>
      <c r="J45" s="158">
        <f t="shared" si="22"/>
        <v>0.64444357413211717</v>
      </c>
    </row>
    <row r="46" spans="1:45" s="146" customFormat="1" ht="34.9" customHeight="1" x14ac:dyDescent="0.25">
      <c r="A46" s="153" t="s">
        <v>281</v>
      </c>
      <c r="B46" s="153">
        <v>1130</v>
      </c>
      <c r="C46" s="44">
        <f t="shared" si="16"/>
        <v>884.88812765952525</v>
      </c>
      <c r="D46" s="165">
        <f t="shared" si="19"/>
        <v>866.30547697867519</v>
      </c>
      <c r="E46" s="156">
        <f t="shared" si="20"/>
        <v>866305476.97867525</v>
      </c>
      <c r="F46" s="156">
        <f t="shared" si="17"/>
        <v>1291088463.8717997</v>
      </c>
      <c r="G46" s="156">
        <f t="shared" si="18"/>
        <v>5762560.3066291669</v>
      </c>
      <c r="H46" s="156" cm="1">
        <f t="array" aca="1" ref="H46" ca="1">SUM(G46*(1+$L$3)^ROW(INDIRECT("1:"&amp;$L$36)))</f>
        <v>1291088463.8717964</v>
      </c>
      <c r="I46" s="157">
        <f t="shared" si="21"/>
        <v>5099.6108908222714</v>
      </c>
      <c r="J46" s="158">
        <f t="shared" si="22"/>
        <v>0.64444357413211739</v>
      </c>
    </row>
    <row r="47" spans="1:45" s="146" customFormat="1" ht="34.9" customHeight="1" x14ac:dyDescent="0.25">
      <c r="A47" s="170" t="s">
        <v>255</v>
      </c>
      <c r="B47" s="113">
        <v>696</v>
      </c>
      <c r="C47" s="171" t="str">
        <f t="shared" ref="C47:D47" si="23">C13</f>
        <v>1845 (2024)</v>
      </c>
      <c r="D47" s="165">
        <f t="shared" si="23"/>
        <v>1845</v>
      </c>
      <c r="E47" s="156">
        <f t="shared" si="20"/>
        <v>1845000000</v>
      </c>
      <c r="F47" s="156">
        <f t="shared" si="17"/>
        <v>2749674657.6636348</v>
      </c>
      <c r="G47" s="156">
        <f t="shared" si="18"/>
        <v>12272719.090742311</v>
      </c>
      <c r="H47" s="156" cm="1">
        <f t="array" aca="1" ref="H47" ca="1">SUM(G47*(1+$L$3)^ROW(INDIRECT("1:"&amp;$L$36)))</f>
        <v>2749674657.6636286</v>
      </c>
      <c r="I47" s="157">
        <f>G47/(SUM(B47))</f>
        <v>17633.217084399872</v>
      </c>
      <c r="J47" s="158">
        <f>I47/($S$2*$U$2)</f>
        <v>2.2365825830035351</v>
      </c>
      <c r="P47" s="197"/>
      <c r="Q47" s="197"/>
      <c r="R47" s="197"/>
      <c r="S47" s="197"/>
      <c r="T47" s="197"/>
      <c r="U47" s="197"/>
      <c r="V47" s="197"/>
    </row>
    <row r="48" spans="1:45" s="146" customFormat="1" ht="34.9" customHeight="1" x14ac:dyDescent="0.25">
      <c r="A48" s="170" t="s">
        <v>256</v>
      </c>
      <c r="B48" s="113">
        <f>1250</f>
        <v>1250</v>
      </c>
      <c r="C48" s="113" t="s">
        <v>435</v>
      </c>
      <c r="D48" s="172">
        <f>3227*$C$74</f>
        <v>1041.5861386138615</v>
      </c>
      <c r="E48" s="156">
        <f>D48*1000000</f>
        <v>1041586138.6138616</v>
      </c>
      <c r="F48" s="156">
        <f>FV($S$3,$L$36,,-E48,1)</f>
        <v>1041586138.6138616</v>
      </c>
      <c r="G48" s="156">
        <f>PMT($S$4,$L$36,,-F48,1)</f>
        <v>6719844.8796702623</v>
      </c>
      <c r="H48" s="156" cm="1">
        <f t="array" aca="1" ref="H48" ca="1">SUM(G48*(1+$S$4)^ROW(INDIRECT("1:"&amp;$L$36)))</f>
        <v>1041586138.6138549</v>
      </c>
      <c r="I48" s="157">
        <f>G48/(SUM(B48))</f>
        <v>5375.8759037362097</v>
      </c>
      <c r="J48" s="179">
        <f>2*$C$74</f>
        <v>0.64554455445544556</v>
      </c>
      <c r="P48" s="197"/>
      <c r="Q48" s="197"/>
      <c r="R48" s="197"/>
      <c r="S48" s="197"/>
      <c r="T48" s="197"/>
      <c r="U48" s="197"/>
      <c r="V48" s="197"/>
    </row>
    <row r="49" spans="1:22" s="146" customFormat="1" ht="34.9" customHeight="1" x14ac:dyDescent="0.25">
      <c r="A49" s="170" t="s">
        <v>256</v>
      </c>
      <c r="B49" s="113">
        <f>1250</f>
        <v>1250</v>
      </c>
      <c r="C49" s="113" t="s">
        <v>435</v>
      </c>
      <c r="D49" s="172">
        <f>3227*$C$74</f>
        <v>1041.5861386138615</v>
      </c>
      <c r="E49" s="156">
        <f>D49*1000000</f>
        <v>1041586138.6138616</v>
      </c>
      <c r="F49" s="156">
        <f>FV($S$3,$L$36,,-E49,1)</f>
        <v>1041586138.6138616</v>
      </c>
      <c r="G49" s="156">
        <f>PMT($S$4,$L$36,,-F49,1)</f>
        <v>6719844.8796702623</v>
      </c>
      <c r="H49" s="156" cm="1">
        <f t="array" aca="1" ref="H49" ca="1">SUM(G49*(1+$S$4)^ROW(INDIRECT("1:"&amp;$L$36)))</f>
        <v>1041586138.6138549</v>
      </c>
      <c r="I49" s="157">
        <f>G49/(SUM(B49))</f>
        <v>5375.8759037362097</v>
      </c>
      <c r="J49" s="179">
        <f>2*$C$74</f>
        <v>0.64554455445544556</v>
      </c>
      <c r="P49" s="197"/>
      <c r="Q49" s="197"/>
      <c r="R49" s="197"/>
      <c r="S49" s="197"/>
      <c r="T49" s="197"/>
      <c r="U49" s="197"/>
      <c r="V49" s="197"/>
    </row>
    <row r="50" spans="1:22" s="146" customFormat="1" ht="34.9" customHeight="1" x14ac:dyDescent="0.25">
      <c r="A50" s="173" t="s">
        <v>253</v>
      </c>
      <c r="B50" s="113">
        <v>1010</v>
      </c>
      <c r="C50" s="153" t="s">
        <v>436</v>
      </c>
      <c r="D50" s="165">
        <f>4751*$N$3*$L$12</f>
        <v>3183.17</v>
      </c>
      <c r="E50" s="156">
        <f>D50*1000000</f>
        <v>3183170000</v>
      </c>
      <c r="F50" s="156">
        <f>FV($L$1,$L$36,,-E50,1)</f>
        <v>4744001018.9892426</v>
      </c>
      <c r="G50" s="156">
        <f>PMT($L$3,$L$36,,-F50,1)</f>
        <v>21174065.706275444</v>
      </c>
      <c r="H50" s="156" cm="1">
        <f t="array" aca="1" ref="H50" ca="1">SUM(G50*(1+$L$3)^ROW(INDIRECT("1:"&amp;$L$36)))</f>
        <v>4744001018.9892292</v>
      </c>
      <c r="I50" s="157">
        <f>G50/(SUM(B50))</f>
        <v>20964.421491361827</v>
      </c>
      <c r="J50" s="158">
        <f>I50/($T$2*$U$2)</f>
        <v>2.6492975650004835</v>
      </c>
      <c r="P50" s="197"/>
      <c r="Q50" s="197"/>
      <c r="R50" s="197"/>
      <c r="S50" s="197"/>
      <c r="T50" s="197"/>
      <c r="U50" s="197"/>
      <c r="V50" s="197"/>
    </row>
    <row r="51" spans="1:22" s="146" customFormat="1" ht="34.9" customHeight="1" x14ac:dyDescent="0.25">
      <c r="A51" s="153" t="s">
        <v>394</v>
      </c>
      <c r="B51" s="153"/>
      <c r="C51" s="153"/>
      <c r="D51" s="165"/>
      <c r="E51" s="156"/>
      <c r="F51" s="156"/>
      <c r="G51" s="156"/>
      <c r="H51" s="156"/>
      <c r="I51" s="157">
        <f ca="1">E87</f>
        <v>7870.7138216138046</v>
      </c>
      <c r="J51" s="158">
        <f ca="1">I51/($T$2*$U$2)</f>
        <v>0.99463097376709864</v>
      </c>
      <c r="L51" s="163"/>
      <c r="P51" s="197"/>
      <c r="Q51" s="197"/>
      <c r="R51" s="197"/>
      <c r="S51" s="197"/>
      <c r="T51" s="197"/>
      <c r="U51" s="197"/>
      <c r="V51" s="197"/>
    </row>
    <row r="52" spans="1:22" s="146" customFormat="1" ht="34.9" customHeight="1" x14ac:dyDescent="0.25">
      <c r="A52" s="176" t="s">
        <v>416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63"/>
      <c r="L52" s="163"/>
      <c r="P52" s="197"/>
      <c r="Q52" s="197"/>
      <c r="R52" s="197"/>
      <c r="S52" s="197"/>
      <c r="T52" s="197"/>
      <c r="U52" s="197"/>
      <c r="V52" s="197"/>
    </row>
    <row r="53" spans="1:22" s="146" customFormat="1" ht="34.9" customHeight="1" x14ac:dyDescent="0.25">
      <c r="A53" s="148" t="str">
        <f>A36</f>
        <v>Jedrska elektrarna</v>
      </c>
      <c r="B53" s="148" t="str">
        <f>B36</f>
        <v>Moč reaktorja (MW)</v>
      </c>
      <c r="C53" s="148" t="str">
        <f>C36</f>
        <v>Cena ravnanja z odpadki 2020-2023 (mio. €)</v>
      </c>
      <c r="D53" s="148" t="str">
        <f>D36</f>
        <v>Cena ravnanja z odpadki 2024 (mio. €)</v>
      </c>
      <c r="E53" s="148" t="str">
        <f>E36</f>
        <v>Cena ravnanja z odpadki 2024 [EUR]</v>
      </c>
      <c r="F53" s="148" t="s">
        <v>417</v>
      </c>
      <c r="G53" s="148" t="s">
        <v>418</v>
      </c>
      <c r="H53" s="148" t="s">
        <v>233</v>
      </c>
      <c r="I53" s="149" t="s">
        <v>234</v>
      </c>
      <c r="J53" s="149" t="s">
        <v>415</v>
      </c>
      <c r="K53" s="176" t="s">
        <v>259</v>
      </c>
      <c r="L53" s="176">
        <v>100</v>
      </c>
      <c r="P53" s="197"/>
      <c r="Q53" s="197"/>
      <c r="R53" s="197"/>
      <c r="S53" s="197"/>
      <c r="T53" s="197"/>
      <c r="U53" s="197"/>
      <c r="V53" s="197"/>
    </row>
    <row r="54" spans="1:22" s="146" customFormat="1" ht="34.9" customHeight="1" x14ac:dyDescent="0.25">
      <c r="A54" s="153" t="s">
        <v>274</v>
      </c>
      <c r="B54" s="153">
        <v>507</v>
      </c>
      <c r="C54" s="154">
        <f>$L$17*(B54/SUM(B54:B55))</f>
        <v>426.15273775216139</v>
      </c>
      <c r="D54" s="155">
        <f>C54*$Q$3</f>
        <v>417.203530259366</v>
      </c>
      <c r="E54" s="156">
        <f>D54*1000000</f>
        <v>417203530.25936598</v>
      </c>
      <c r="F54" s="156">
        <f>FV($L$1,$L$53,,-E54,1)</f>
        <v>686995908.07787895</v>
      </c>
      <c r="G54" s="156">
        <f>PMT($L$3,$L$53,,-F54,1)</f>
        <v>1831498.0102354945</v>
      </c>
      <c r="H54" s="156" cm="1">
        <f t="array" aca="1" ref="H54" ca="1">SUM(G54*(1+$L$3)^ROW(INDIRECT("1:"&amp;$L$53)))</f>
        <v>686995908.07787597</v>
      </c>
      <c r="I54" s="157">
        <f>G54/(SUM(B54))</f>
        <v>3612.4221109181349</v>
      </c>
      <c r="J54" s="158">
        <f>I54/($T$2*$U$2)</f>
        <v>0.45650585236290436</v>
      </c>
      <c r="K54" s="214" t="s">
        <v>234</v>
      </c>
      <c r="L54" s="215"/>
      <c r="M54" s="216" t="s">
        <v>415</v>
      </c>
      <c r="N54" s="217"/>
      <c r="P54" s="197"/>
      <c r="Q54" s="197"/>
      <c r="R54" s="197"/>
      <c r="S54" s="197"/>
      <c r="T54" s="197"/>
      <c r="U54" s="197"/>
      <c r="V54" s="197"/>
    </row>
    <row r="55" spans="1:22" s="146" customFormat="1" ht="34.9" customHeight="1" x14ac:dyDescent="0.25">
      <c r="A55" s="153" t="s">
        <v>275</v>
      </c>
      <c r="B55" s="153">
        <v>1575</v>
      </c>
      <c r="C55" s="154">
        <f>$L$17*(B55/SUM(B54:B55))</f>
        <v>1323.8472622478384</v>
      </c>
      <c r="D55" s="155">
        <f>C55*$Q$3</f>
        <v>1296.0464697406337</v>
      </c>
      <c r="E55" s="156">
        <f>D55*1000000</f>
        <v>1296046469.7406337</v>
      </c>
      <c r="F55" s="156">
        <f>FV($L$1,$L$53,,-E55,1)</f>
        <v>2134158886.0407476</v>
      </c>
      <c r="G55" s="156">
        <f>PMT($L$3,$L$53,,-F55,1)</f>
        <v>5689564.8246960603</v>
      </c>
      <c r="H55" s="156" cm="1">
        <f t="array" aca="1" ref="H55" ca="1">SUM(G55*(1+$L$3)^ROW(INDIRECT("1:"&amp;$L$53)))</f>
        <v>2134158886.0407376</v>
      </c>
      <c r="I55" s="157">
        <f>G55/(SUM(B55))</f>
        <v>3612.4221109181335</v>
      </c>
      <c r="J55" s="158">
        <f>I55/($T$2*$U$2)</f>
        <v>0.4565058523629042</v>
      </c>
      <c r="K55" s="99" t="s">
        <v>3</v>
      </c>
      <c r="L55" s="43">
        <f ca="1">MIN(I54:I68)</f>
        <v>3365.5116106256501</v>
      </c>
      <c r="M55" s="99" t="s">
        <v>3</v>
      </c>
      <c r="N55" s="81">
        <f ca="1">MIN(J54:J68)</f>
        <v>0.42530349424071806</v>
      </c>
      <c r="P55" s="197"/>
      <c r="Q55" s="197"/>
      <c r="R55" s="197"/>
      <c r="S55" s="197"/>
      <c r="T55" s="197"/>
      <c r="U55" s="197"/>
      <c r="V55" s="197"/>
    </row>
    <row r="56" spans="1:22" s="146" customFormat="1" ht="34.9" customHeight="1" x14ac:dyDescent="0.25">
      <c r="A56" s="153" t="str">
        <f>A54</f>
        <v>Loviisa-2 (Finska)</v>
      </c>
      <c r="B56" s="153"/>
      <c r="C56" s="154"/>
      <c r="D56" s="155"/>
      <c r="E56" s="156"/>
      <c r="F56" s="156"/>
      <c r="G56" s="156"/>
      <c r="H56" s="156"/>
      <c r="I56" s="157">
        <f>I54</f>
        <v>3612.4221109181349</v>
      </c>
      <c r="J56" s="158">
        <f>I56/($T$2*$U$2)</f>
        <v>0.45650585236290436</v>
      </c>
      <c r="K56" s="99" t="s">
        <v>20</v>
      </c>
      <c r="L56" s="43">
        <f ca="1">AVERAGE(I54:I68)</f>
        <v>4832.3894385995363</v>
      </c>
      <c r="M56" s="99" t="s">
        <v>20</v>
      </c>
      <c r="N56" s="81">
        <f ca="1">AVERAGE(J54:J68)</f>
        <v>0.60930408488652432</v>
      </c>
      <c r="P56" s="197"/>
      <c r="Q56" s="197"/>
      <c r="R56" s="197"/>
      <c r="S56" s="197"/>
      <c r="T56" s="197"/>
      <c r="U56" s="197"/>
      <c r="V56" s="197"/>
    </row>
    <row r="57" spans="1:22" s="146" customFormat="1" ht="34.9" customHeight="1" x14ac:dyDescent="0.25">
      <c r="A57" s="153" t="str">
        <f>A55</f>
        <v>Olkiluoto-3 (Finska)</v>
      </c>
      <c r="B57" s="153"/>
      <c r="C57" s="154"/>
      <c r="D57" s="155"/>
      <c r="E57" s="156"/>
      <c r="F57" s="156"/>
      <c r="G57" s="156"/>
      <c r="H57" s="156"/>
      <c r="I57" s="157">
        <f>I55</f>
        <v>3612.4221109181335</v>
      </c>
      <c r="J57" s="158">
        <f>I57/($T$2*$U$2)</f>
        <v>0.4565058523629042</v>
      </c>
      <c r="K57" s="99" t="s">
        <v>5</v>
      </c>
      <c r="L57" s="43">
        <f ca="1">MAX(I54:I68)</f>
        <v>13835.566173530464</v>
      </c>
      <c r="M57" s="99" t="s">
        <v>5</v>
      </c>
      <c r="N57" s="81">
        <f ca="1">MAX(J54:J68)</f>
        <v>1.7484160862268696</v>
      </c>
      <c r="P57" s="197"/>
      <c r="Q57" s="197"/>
      <c r="R57" s="197"/>
      <c r="S57" s="197"/>
      <c r="T57" s="197"/>
      <c r="U57" s="197"/>
      <c r="V57" s="197"/>
    </row>
    <row r="58" spans="1:22" s="146" customFormat="1" ht="34.9" customHeight="1" x14ac:dyDescent="0.25">
      <c r="A58" s="153" t="s">
        <v>276</v>
      </c>
      <c r="B58" s="153">
        <v>600</v>
      </c>
      <c r="C58" s="44">
        <f t="shared" ref="C58:C63" si="24">$L$20*(B58/SUM($B$7:$B$12))</f>
        <v>469.85210318204878</v>
      </c>
      <c r="D58" s="165">
        <f>C58*$Q$3</f>
        <v>459.98520901522573</v>
      </c>
      <c r="E58" s="156">
        <f>D58*1000000</f>
        <v>459985209.01522571</v>
      </c>
      <c r="F58" s="156">
        <f t="shared" ref="F58:F64" si="25">FV($L$1,$L$53,,-E58,1)</f>
        <v>757443150.52500379</v>
      </c>
      <c r="G58" s="156">
        <f t="shared" ref="G58:G64" si="26">PMT($L$3,$L$53,,-F58,1)</f>
        <v>2019306.9663753901</v>
      </c>
      <c r="H58" s="156" cm="1">
        <f t="array" aca="1" ref="H58" ca="1">SUM(G58*(1+$L$3)^ROW(INDIRECT("1:"&amp;$L$53)))</f>
        <v>757443150.52499986</v>
      </c>
      <c r="I58" s="157">
        <f>G58/(SUM(B58))</f>
        <v>3365.5116106256501</v>
      </c>
      <c r="J58" s="158">
        <f>I58/($T$2*$U$2)</f>
        <v>0.42530349424071806</v>
      </c>
      <c r="K58" s="100" t="s">
        <v>266</v>
      </c>
      <c r="L58" s="39">
        <f ca="1">$L$38</f>
        <v>5099.6108908222677</v>
      </c>
      <c r="M58" s="100" t="s">
        <v>266</v>
      </c>
      <c r="N58" s="101">
        <f ca="1">$N$55</f>
        <v>0.42530349424071806</v>
      </c>
      <c r="P58" s="197"/>
      <c r="Q58" s="197"/>
      <c r="R58" s="197"/>
      <c r="S58" s="197"/>
      <c r="T58" s="197"/>
      <c r="U58" s="197"/>
      <c r="V58" s="197"/>
    </row>
    <row r="59" spans="1:22" s="146" customFormat="1" ht="34.9" customHeight="1" x14ac:dyDescent="0.25">
      <c r="A59" s="153" t="s">
        <v>277</v>
      </c>
      <c r="B59" s="153">
        <v>1121</v>
      </c>
      <c r="C59" s="44">
        <f t="shared" si="24"/>
        <v>877.84034611179447</v>
      </c>
      <c r="D59" s="165">
        <f t="shared" ref="D59:D63" si="27">C59*$Q$3</f>
        <v>859.40569884344677</v>
      </c>
      <c r="E59" s="156">
        <f t="shared" ref="E59:E64" si="28">D59*1000000</f>
        <v>859405698.84344673</v>
      </c>
      <c r="F59" s="156">
        <f t="shared" si="25"/>
        <v>1415156286.2308822</v>
      </c>
      <c r="G59" s="156">
        <f t="shared" si="26"/>
        <v>3772738.5155113544</v>
      </c>
      <c r="H59" s="156" cm="1">
        <f t="array" aca="1" ref="H59" ca="1">SUM(G59*(1+$L$3)^ROW(INDIRECT("1:"&amp;$L$53)))</f>
        <v>1415156286.230875</v>
      </c>
      <c r="I59" s="157">
        <f t="shared" ref="I59:I63" si="29">G59/(SUM(B59))</f>
        <v>3365.5116106256505</v>
      </c>
      <c r="J59" s="158">
        <f t="shared" ref="J59:J63" si="30">I59/($T$2*$U$2)</f>
        <v>0.42530349424071812</v>
      </c>
      <c r="K59" s="100" t="s">
        <v>267</v>
      </c>
      <c r="L59" s="39">
        <f ca="1">$L57</f>
        <v>13835.566173530464</v>
      </c>
      <c r="M59" s="100" t="s">
        <v>267</v>
      </c>
      <c r="N59" s="101">
        <f ca="1">$N$57</f>
        <v>1.7484160862268696</v>
      </c>
      <c r="P59" s="197"/>
      <c r="Q59" s="197"/>
      <c r="R59" s="197"/>
      <c r="S59" s="197"/>
      <c r="T59" s="197"/>
      <c r="U59" s="197"/>
      <c r="V59" s="197"/>
    </row>
    <row r="60" spans="1:22" s="146" customFormat="1" ht="34.9" customHeight="1" x14ac:dyDescent="0.25">
      <c r="A60" s="153" t="s">
        <v>278</v>
      </c>
      <c r="B60" s="153">
        <v>1172</v>
      </c>
      <c r="C60" s="44">
        <f t="shared" si="24"/>
        <v>917.77777488226866</v>
      </c>
      <c r="D60" s="165">
        <f t="shared" si="27"/>
        <v>898.50444160974098</v>
      </c>
      <c r="E60" s="156">
        <f t="shared" si="28"/>
        <v>898504441.60974097</v>
      </c>
      <c r="F60" s="156">
        <f t="shared" si="25"/>
        <v>1479538954.0255075</v>
      </c>
      <c r="G60" s="156">
        <f t="shared" si="26"/>
        <v>3944379.6076532626</v>
      </c>
      <c r="H60" s="156" cm="1">
        <f t="array" aca="1" ref="H60" ca="1">SUM(G60*(1+$L$3)^ROW(INDIRECT("1:"&amp;$L$53)))</f>
        <v>1479538954.0255008</v>
      </c>
      <c r="I60" s="157">
        <f t="shared" si="29"/>
        <v>3365.5116106256505</v>
      </c>
      <c r="J60" s="158">
        <f t="shared" si="30"/>
        <v>0.42530349424071812</v>
      </c>
      <c r="P60" s="197"/>
      <c r="Q60" s="197"/>
      <c r="R60" s="197"/>
      <c r="S60" s="197"/>
      <c r="T60" s="197"/>
      <c r="U60" s="197"/>
      <c r="V60" s="197"/>
    </row>
    <row r="61" spans="1:22" s="146" customFormat="1" ht="34.9" customHeight="1" x14ac:dyDescent="0.25">
      <c r="A61" s="153" t="s">
        <v>279</v>
      </c>
      <c r="B61" s="153">
        <v>1400</v>
      </c>
      <c r="C61" s="44">
        <f t="shared" si="24"/>
        <v>1096.3215740914472</v>
      </c>
      <c r="D61" s="165">
        <f t="shared" si="27"/>
        <v>1073.2988210355268</v>
      </c>
      <c r="E61" s="156">
        <f t="shared" si="28"/>
        <v>1073298821.0355268</v>
      </c>
      <c r="F61" s="156">
        <f t="shared" si="25"/>
        <v>1767367351.225009</v>
      </c>
      <c r="G61" s="156">
        <f t="shared" si="26"/>
        <v>4711716.2548759133</v>
      </c>
      <c r="H61" s="156" cm="1">
        <f t="array" aca="1" ref="H61" ca="1">SUM(G61*(1+$L$3)^ROW(INDIRECT("1:"&amp;$L$53)))</f>
        <v>1767367351.2250013</v>
      </c>
      <c r="I61" s="157">
        <f t="shared" si="29"/>
        <v>3365.5116106256523</v>
      </c>
      <c r="J61" s="158">
        <f t="shared" si="30"/>
        <v>0.42530349424071834</v>
      </c>
      <c r="K61" s="166" t="s">
        <v>257</v>
      </c>
      <c r="L61" s="167">
        <f>AVERAGE((306+147),(317+172),(394+198))</f>
        <v>511.33333333333331</v>
      </c>
      <c r="M61" s="168" t="s">
        <v>282</v>
      </c>
      <c r="P61" s="197"/>
      <c r="Q61" s="197"/>
      <c r="R61" s="197"/>
      <c r="S61" s="197"/>
      <c r="T61" s="197"/>
      <c r="U61" s="197"/>
      <c r="V61" s="197"/>
    </row>
    <row r="62" spans="1:22" s="146" customFormat="1" ht="34.9" customHeight="1" x14ac:dyDescent="0.25">
      <c r="A62" s="153" t="s">
        <v>280</v>
      </c>
      <c r="B62" s="153">
        <v>1081</v>
      </c>
      <c r="C62" s="44">
        <f t="shared" si="24"/>
        <v>846.51687256632454</v>
      </c>
      <c r="D62" s="165">
        <f t="shared" si="27"/>
        <v>828.74001824243169</v>
      </c>
      <c r="E62" s="156">
        <f t="shared" si="28"/>
        <v>828740018.24243164</v>
      </c>
      <c r="F62" s="156">
        <f t="shared" si="25"/>
        <v>1364660076.1958818</v>
      </c>
      <c r="G62" s="156">
        <f t="shared" si="26"/>
        <v>3638118.0510863299</v>
      </c>
      <c r="H62" s="156" cm="1">
        <f t="array" aca="1" ref="H62" ca="1">SUM(G62*(1+$L$3)^ROW(INDIRECT("1:"&amp;$L$53)))</f>
        <v>1364660076.1958764</v>
      </c>
      <c r="I62" s="157">
        <f t="shared" si="29"/>
        <v>3365.5116106256519</v>
      </c>
      <c r="J62" s="158">
        <f t="shared" si="30"/>
        <v>0.42530349424071828</v>
      </c>
    </row>
    <row r="63" spans="1:22" s="146" customFormat="1" ht="34.9" customHeight="1" x14ac:dyDescent="0.25">
      <c r="A63" s="153" t="s">
        <v>281</v>
      </c>
      <c r="B63" s="153">
        <v>1130</v>
      </c>
      <c r="C63" s="44">
        <f t="shared" si="24"/>
        <v>884.88812765952525</v>
      </c>
      <c r="D63" s="165">
        <f t="shared" si="27"/>
        <v>866.30547697867519</v>
      </c>
      <c r="E63" s="156">
        <f t="shared" si="28"/>
        <v>866305476.97867525</v>
      </c>
      <c r="F63" s="156">
        <f t="shared" si="25"/>
        <v>1426517933.4887574</v>
      </c>
      <c r="G63" s="156">
        <f t="shared" si="26"/>
        <v>3803028.120006986</v>
      </c>
      <c r="H63" s="156" cm="1">
        <f t="array" aca="1" ref="H63" ca="1">SUM(G63*(1+$L$3)^ROW(INDIRECT("1:"&amp;$L$53)))</f>
        <v>1426517933.4887512</v>
      </c>
      <c r="I63" s="157">
        <f t="shared" si="29"/>
        <v>3365.5116106256514</v>
      </c>
      <c r="J63" s="158">
        <f t="shared" si="30"/>
        <v>0.42530349424071823</v>
      </c>
    </row>
    <row r="64" spans="1:22" s="146" customFormat="1" ht="34.9" customHeight="1" x14ac:dyDescent="0.25">
      <c r="A64" s="170" t="s">
        <v>255</v>
      </c>
      <c r="B64" s="113">
        <v>696</v>
      </c>
      <c r="C64" s="171" t="str">
        <f t="shared" ref="C64:D64" si="31">C13</f>
        <v>1845 (2024)</v>
      </c>
      <c r="D64" s="165">
        <f t="shared" si="31"/>
        <v>1845</v>
      </c>
      <c r="E64" s="156">
        <f t="shared" si="28"/>
        <v>1845000000</v>
      </c>
      <c r="F64" s="156">
        <f t="shared" si="25"/>
        <v>3038103367.9549785</v>
      </c>
      <c r="G64" s="156">
        <f t="shared" si="26"/>
        <v>8099437.2861221172</v>
      </c>
      <c r="H64" s="156" cm="1">
        <f t="array" aca="1" ref="H64" ca="1">SUM(G64*(1+$L$3)^ROW(INDIRECT("1:"&amp;$L$53)))</f>
        <v>3038103367.9549637</v>
      </c>
      <c r="I64" s="157">
        <f>G64/(SUM(B64))</f>
        <v>11637.122537531777</v>
      </c>
      <c r="J64" s="158">
        <f>I64/($S$2*$U$2)</f>
        <v>1.4760429398188455</v>
      </c>
      <c r="O64" s="197"/>
      <c r="P64" s="197"/>
      <c r="Q64" s="197"/>
      <c r="R64" s="197"/>
      <c r="S64" s="197"/>
      <c r="T64" s="197"/>
      <c r="U64" s="197"/>
    </row>
    <row r="65" spans="1:46" s="146" customFormat="1" ht="34.9" customHeight="1" x14ac:dyDescent="0.25">
      <c r="A65" s="170" t="s">
        <v>256</v>
      </c>
      <c r="B65" s="113">
        <f>1250</f>
        <v>1250</v>
      </c>
      <c r="C65" s="113" t="s">
        <v>435</v>
      </c>
      <c r="D65" s="172">
        <f>3227*$C$74</f>
        <v>1041.5861386138615</v>
      </c>
      <c r="E65" s="156">
        <f>D65*1000000</f>
        <v>1041586138.6138616</v>
      </c>
      <c r="F65" s="156">
        <f>FV($S$3,$L$53,,-E65,1)</f>
        <v>1041586138.6138616</v>
      </c>
      <c r="G65" s="156">
        <f>PMT($S$4,$L$53,,-F65,1)</f>
        <v>4485050.6584416404</v>
      </c>
      <c r="H65" s="156" cm="1">
        <f t="array" aca="1" ref="H65" ca="1">SUM(G65*(1+$S$4)^ROW(INDIRECT("1:"&amp;$L$53)))</f>
        <v>1041586138.6138532</v>
      </c>
      <c r="I65" s="157">
        <f>G65/(SUM(B65))</f>
        <v>3588.0405267533124</v>
      </c>
      <c r="J65" s="158">
        <f>I65/($R$2*$U$2)</f>
        <v>0.44042329831999216</v>
      </c>
      <c r="O65" s="197"/>
      <c r="P65" s="197"/>
      <c r="Q65" s="197"/>
      <c r="R65" s="197"/>
      <c r="S65" s="197"/>
      <c r="T65" s="197"/>
      <c r="U65" s="197"/>
    </row>
    <row r="66" spans="1:46" s="146" customFormat="1" ht="34.9" customHeight="1" x14ac:dyDescent="0.25">
      <c r="A66" s="170" t="s">
        <v>256</v>
      </c>
      <c r="B66" s="113">
        <f>1250</f>
        <v>1250</v>
      </c>
      <c r="C66" s="113" t="s">
        <v>435</v>
      </c>
      <c r="D66" s="172">
        <f>3227*$C$74</f>
        <v>1041.5861386138615</v>
      </c>
      <c r="E66" s="156">
        <f>D66*1000000</f>
        <v>1041586138.6138616</v>
      </c>
      <c r="F66" s="156">
        <f>FV($S$3,$L$53,,-E66,1)</f>
        <v>1041586138.6138616</v>
      </c>
      <c r="G66" s="156">
        <f>PMT($S$4,$L$53,,-F66,1)</f>
        <v>4485050.6584416404</v>
      </c>
      <c r="H66" s="156" cm="1">
        <f t="array" aca="1" ref="H66" ca="1">SUM(G66*(1+$S$4)^ROW(INDIRECT("1:"&amp;$L$53)))</f>
        <v>1041586138.6138532</v>
      </c>
      <c r="I66" s="157">
        <f>G66/(SUM(B66))</f>
        <v>3588.0405267533124</v>
      </c>
      <c r="J66" s="158">
        <f>I66/($R$2*$U$2)</f>
        <v>0.44042329831999216</v>
      </c>
      <c r="O66" s="197"/>
      <c r="P66" s="197"/>
      <c r="Q66" s="197"/>
      <c r="R66" s="197"/>
      <c r="S66" s="197"/>
      <c r="T66" s="197"/>
      <c r="U66" s="197"/>
    </row>
    <row r="67" spans="1:46" s="146" customFormat="1" ht="34.9" customHeight="1" x14ac:dyDescent="0.25">
      <c r="A67" s="173" t="s">
        <v>253</v>
      </c>
      <c r="B67" s="113">
        <v>1010</v>
      </c>
      <c r="C67" s="153" t="s">
        <v>436</v>
      </c>
      <c r="D67" s="165">
        <f>4751*$N$3*$L$12</f>
        <v>3183.17</v>
      </c>
      <c r="E67" s="156">
        <f>D67*1000000</f>
        <v>3183170000</v>
      </c>
      <c r="F67" s="156">
        <f>FV($L$1,$L$53,,-E67,1)</f>
        <v>5241625744.0505419</v>
      </c>
      <c r="G67" s="156">
        <f>PMT($L$3,$L$53,,-F67,1)</f>
        <v>13973921.835265769</v>
      </c>
      <c r="H67" s="156" cm="1">
        <f t="array" aca="1" ref="H67" ca="1">SUM(G67*(1+$L$3)^ROW(INDIRECT("1:"&amp;$L$53)))</f>
        <v>5241625744.0505171</v>
      </c>
      <c r="I67" s="157">
        <f>G67/(SUM(B67))</f>
        <v>13835.566173530464</v>
      </c>
      <c r="J67" s="158">
        <f>I67/($T$2*$U$2)</f>
        <v>1.7484160862268696</v>
      </c>
      <c r="O67" s="197"/>
      <c r="P67" s="197"/>
      <c r="Q67" s="197"/>
      <c r="R67" s="197"/>
      <c r="S67" s="197"/>
      <c r="T67" s="197"/>
      <c r="U67" s="197"/>
    </row>
    <row r="68" spans="1:46" s="146" customFormat="1" ht="34.9" customHeight="1" x14ac:dyDescent="0.25">
      <c r="A68" s="153" t="s">
        <v>394</v>
      </c>
      <c r="B68" s="153"/>
      <c r="C68" s="153"/>
      <c r="D68" s="165"/>
      <c r="E68" s="180"/>
      <c r="F68" s="180"/>
      <c r="G68" s="180"/>
      <c r="H68" s="180"/>
      <c r="I68" s="181">
        <f ca="1">F87</f>
        <v>5194.3137069977392</v>
      </c>
      <c r="J68" s="158">
        <f ca="1">I68/($T$2*$U$2)</f>
        <v>0.65641127571623858</v>
      </c>
      <c r="L68" s="163"/>
      <c r="O68" s="197"/>
      <c r="P68" s="197"/>
      <c r="Q68" s="197"/>
      <c r="R68" s="197"/>
      <c r="S68" s="197"/>
      <c r="T68" s="197"/>
      <c r="U68" s="197"/>
    </row>
    <row r="69" spans="1:46" s="146" customFormat="1" ht="34.9" customHeight="1" x14ac:dyDescent="0.25">
      <c r="L69" s="163"/>
      <c r="O69" s="197"/>
      <c r="P69" s="197"/>
      <c r="Q69" s="197"/>
      <c r="R69" s="197"/>
      <c r="S69" s="197"/>
      <c r="T69" s="197"/>
      <c r="U69" s="197"/>
    </row>
    <row r="70" spans="1:46" s="146" customFormat="1" ht="34.9" customHeight="1" x14ac:dyDescent="0.25">
      <c r="A70" s="218" t="s">
        <v>382</v>
      </c>
      <c r="B70" s="219"/>
      <c r="C70" s="219"/>
      <c r="D70" s="220"/>
      <c r="L70" s="163"/>
      <c r="O70" s="197"/>
      <c r="P70" s="197"/>
      <c r="Q70" s="197"/>
      <c r="R70" s="197"/>
      <c r="S70" s="197"/>
      <c r="T70" s="197"/>
      <c r="U70" s="197"/>
    </row>
    <row r="71" spans="1:46" s="146" customFormat="1" ht="34.9" customHeight="1" x14ac:dyDescent="0.25">
      <c r="A71" s="182"/>
      <c r="B71" s="182">
        <v>1000</v>
      </c>
      <c r="C71" s="182">
        <v>1250</v>
      </c>
      <c r="D71" s="182">
        <v>1650</v>
      </c>
      <c r="O71" s="197"/>
      <c r="P71" s="197"/>
      <c r="Q71" s="197"/>
      <c r="R71" s="197"/>
      <c r="S71" s="197"/>
      <c r="T71" s="197"/>
      <c r="U71" s="197"/>
    </row>
    <row r="72" spans="1:46" s="146" customFormat="1" ht="34.9" customHeight="1" x14ac:dyDescent="0.25">
      <c r="A72" s="182" t="s">
        <v>376</v>
      </c>
      <c r="B72" s="183">
        <f>306+147</f>
        <v>453</v>
      </c>
      <c r="C72" s="183">
        <f>317+172</f>
        <v>489</v>
      </c>
      <c r="D72" s="183">
        <f>394+198</f>
        <v>592</v>
      </c>
      <c r="O72" s="197"/>
      <c r="P72" s="197"/>
      <c r="Q72" s="197"/>
      <c r="R72" s="197"/>
      <c r="S72" s="197"/>
      <c r="T72" s="197"/>
      <c r="U72" s="197"/>
    </row>
    <row r="73" spans="1:46" s="146" customFormat="1" ht="34.9" customHeight="1" x14ac:dyDescent="0.25">
      <c r="A73" s="182" t="s">
        <v>375</v>
      </c>
      <c r="B73" s="183">
        <v>820</v>
      </c>
      <c r="C73" s="183">
        <v>1026</v>
      </c>
      <c r="D73" s="183">
        <v>1354</v>
      </c>
      <c r="O73" s="197"/>
      <c r="P73" s="197"/>
      <c r="Q73" s="197"/>
      <c r="R73" s="197"/>
      <c r="S73" s="197"/>
      <c r="T73" s="197"/>
      <c r="U73" s="197"/>
    </row>
    <row r="74" spans="1:46" s="146" customFormat="1" ht="34.9" customHeight="1" x14ac:dyDescent="0.25">
      <c r="A74" s="182" t="s">
        <v>378</v>
      </c>
      <c r="B74" s="184">
        <f>B72/SUM(B72:B73)</f>
        <v>0.35585231736056561</v>
      </c>
      <c r="C74" s="184">
        <f>C72/SUM(C72:C73)</f>
        <v>0.32277227722772278</v>
      </c>
      <c r="D74" s="184">
        <f>D72/SUM(D72:D73)</f>
        <v>0.30421377183967113</v>
      </c>
      <c r="O74" s="197"/>
      <c r="P74" s="197"/>
      <c r="Q74" s="197"/>
      <c r="R74" s="197"/>
      <c r="S74" s="197"/>
      <c r="T74" s="197"/>
      <c r="U74" s="197"/>
    </row>
    <row r="75" spans="1:46" s="146" customFormat="1" ht="34.9" customHeight="1" x14ac:dyDescent="0.25">
      <c r="A75" s="182" t="s">
        <v>379</v>
      </c>
      <c r="B75" s="184">
        <f>B73/SUM(B72:B73)</f>
        <v>0.64414768263943445</v>
      </c>
      <c r="C75" s="184">
        <f>C73/SUM(C72:C73)</f>
        <v>0.67722772277227727</v>
      </c>
      <c r="D75" s="184">
        <f>D73/SUM(D72:D73)</f>
        <v>0.69578622816032887</v>
      </c>
      <c r="O75" s="197"/>
      <c r="P75" s="197"/>
      <c r="Q75" s="197"/>
      <c r="R75" s="197"/>
      <c r="S75" s="197"/>
      <c r="T75" s="197"/>
      <c r="U75" s="197"/>
    </row>
    <row r="76" spans="1:46" s="146" customFormat="1" ht="34.9" customHeight="1" x14ac:dyDescent="0.25">
      <c r="A76" s="182" t="s">
        <v>377</v>
      </c>
      <c r="B76" s="185">
        <f>2581*1000000</f>
        <v>2581000000</v>
      </c>
      <c r="C76" s="185">
        <f>3227*1000000</f>
        <v>3227000000</v>
      </c>
      <c r="D76" s="185">
        <f>4259*1000000</f>
        <v>4259000000</v>
      </c>
      <c r="O76" s="197"/>
      <c r="P76" s="197"/>
      <c r="Q76" s="197"/>
      <c r="R76" s="197"/>
      <c r="S76" s="197"/>
      <c r="T76" s="197"/>
      <c r="U76" s="197"/>
    </row>
    <row r="77" spans="1:46" s="146" customFormat="1" ht="34.9" customHeight="1" x14ac:dyDescent="0.25">
      <c r="A77" s="182" t="s">
        <v>380</v>
      </c>
      <c r="B77" s="186">
        <f>PMT(0.015,80,,-B76,1)</f>
        <v>16651450.12155227</v>
      </c>
      <c r="C77" s="186">
        <f>PMT(0.015,80,,-C76,1)</f>
        <v>20819151.314315841</v>
      </c>
      <c r="D77" s="186">
        <f>PMT(0.015,80,,-D76,1)</f>
        <v>27477150.743003149</v>
      </c>
      <c r="O77" s="197"/>
      <c r="P77" s="197"/>
      <c r="Q77" s="197"/>
      <c r="R77" s="197"/>
      <c r="S77" s="197"/>
      <c r="T77" s="197"/>
      <c r="U77" s="197"/>
    </row>
    <row r="78" spans="1:46" s="146" customFormat="1" ht="30" customHeight="1" x14ac:dyDescent="0.25">
      <c r="A78" s="182" t="s">
        <v>381</v>
      </c>
      <c r="B78" s="186">
        <f>B77/B71</f>
        <v>16651.450121552269</v>
      </c>
      <c r="C78" s="186">
        <f>C77/C71</f>
        <v>16655.321051452673</v>
      </c>
      <c r="D78" s="186">
        <f>D77/D71</f>
        <v>16652.818632123119</v>
      </c>
      <c r="E78" s="187" t="s">
        <v>383</v>
      </c>
      <c r="O78" s="197"/>
      <c r="P78" s="197"/>
      <c r="Q78" s="197"/>
      <c r="R78" s="197"/>
      <c r="S78" s="197"/>
      <c r="T78" s="197"/>
      <c r="U78" s="197"/>
      <c r="AM78" s="174"/>
      <c r="AN78" s="174"/>
      <c r="AO78" s="174"/>
      <c r="AP78" s="174"/>
      <c r="AQ78" s="174"/>
      <c r="AR78" s="174"/>
      <c r="AS78" s="174"/>
      <c r="AT78" s="174"/>
    </row>
    <row r="79" spans="1:46" s="146" customFormat="1" ht="30" customHeight="1" x14ac:dyDescent="0.25">
      <c r="A79" s="188" t="s">
        <v>376</v>
      </c>
      <c r="B79" s="186">
        <f>B78*B74</f>
        <v>5925.4571131682469</v>
      </c>
      <c r="C79" s="186">
        <f>C78*C74</f>
        <v>5375.8759037362097</v>
      </c>
      <c r="D79" s="186">
        <f>D78*D74</f>
        <v>5066.0167678401267</v>
      </c>
      <c r="E79" s="189">
        <f>AVERAGE(B79:D79)</f>
        <v>5455.7832615815278</v>
      </c>
      <c r="O79" s="197"/>
      <c r="P79" s="197"/>
      <c r="Q79" s="197"/>
      <c r="R79" s="197"/>
      <c r="S79" s="197"/>
      <c r="T79" s="197"/>
      <c r="U79" s="197"/>
    </row>
    <row r="80" spans="1:46" s="146" customFormat="1" ht="30" customHeight="1" x14ac:dyDescent="0.25">
      <c r="A80" s="188" t="s">
        <v>375</v>
      </c>
      <c r="B80" s="186">
        <f>B78*B75</f>
        <v>10725.993008384023</v>
      </c>
      <c r="C80" s="186">
        <f>C78*C75</f>
        <v>11279.445147716464</v>
      </c>
      <c r="D80" s="186">
        <f>D78*D75</f>
        <v>11586.801864282992</v>
      </c>
      <c r="E80" s="189">
        <f>AVERAGE(B80:D80)</f>
        <v>11197.413340127825</v>
      </c>
      <c r="O80" s="197"/>
      <c r="P80" s="197"/>
      <c r="Q80" s="197"/>
      <c r="R80" s="197"/>
      <c r="S80" s="197"/>
      <c r="T80" s="197"/>
      <c r="U80" s="197"/>
    </row>
    <row r="81" spans="1:19" s="146" customFormat="1" x14ac:dyDescent="0.25"/>
    <row r="82" spans="1:19" s="146" customFormat="1" ht="30" x14ac:dyDescent="0.25">
      <c r="A82" s="190" t="s">
        <v>389</v>
      </c>
      <c r="B82" s="182">
        <v>4</v>
      </c>
      <c r="C82" s="182" t="s">
        <v>385</v>
      </c>
      <c r="F82" s="174" t="s">
        <v>390</v>
      </c>
    </row>
    <row r="83" spans="1:19" s="146" customFormat="1" ht="30" customHeight="1" x14ac:dyDescent="0.25">
      <c r="A83" s="182"/>
      <c r="B83" s="182" t="s">
        <v>387</v>
      </c>
      <c r="C83" s="182">
        <v>60</v>
      </c>
      <c r="D83" s="182">
        <v>40</v>
      </c>
      <c r="E83" s="182">
        <v>80</v>
      </c>
      <c r="F83" s="182">
        <v>100</v>
      </c>
    </row>
    <row r="84" spans="1:19" s="146" customFormat="1" ht="30" customHeight="1" x14ac:dyDescent="0.25">
      <c r="A84" s="182" t="s">
        <v>388</v>
      </c>
      <c r="B84" s="185">
        <f>B82*0.9*8760</f>
        <v>31536</v>
      </c>
      <c r="C84" s="185" cm="1">
        <f t="array" aca="1" ref="C84" ca="1">SUM(B84*(1+$L$3)^ROW(INDIRECT("1:"&amp;$C$83)))</f>
        <v>4012973.9665920488</v>
      </c>
      <c r="D84" s="185"/>
      <c r="E84" s="185"/>
      <c r="F84" s="185"/>
      <c r="G84" s="146" t="s">
        <v>393</v>
      </c>
      <c r="H84" s="146">
        <v>0.9</v>
      </c>
    </row>
    <row r="85" spans="1:19" s="146" customFormat="1" ht="30" customHeight="1" x14ac:dyDescent="0.25">
      <c r="A85" s="182" t="s">
        <v>386</v>
      </c>
      <c r="B85" s="185">
        <f>B84*AVERAGE(B74:D74)</f>
        <v>10331.596907890709</v>
      </c>
      <c r="C85" s="185">
        <f ca="1">C84*AVERAGE(B74:D74)*H84</f>
        <v>1183231.4333529775</v>
      </c>
      <c r="D85" s="185"/>
      <c r="E85" s="185"/>
      <c r="F85" s="185"/>
    </row>
    <row r="86" spans="1:19" s="146" customFormat="1" ht="30" customHeight="1" x14ac:dyDescent="0.25">
      <c r="A86" s="182" t="s">
        <v>395</v>
      </c>
      <c r="B86" s="182"/>
      <c r="C86" s="186">
        <f ca="1">FV($L$1,C83,,-C85,1)</f>
        <v>1596001.8993792951</v>
      </c>
      <c r="D86" s="186">
        <f ca="1">FV($L$1,D83,,-C85,1)</f>
        <v>1444482.1142673204</v>
      </c>
      <c r="E86" s="186">
        <f ca="1">FV($L$1,E83,,-C85,1)</f>
        <v>1763415.4398057996</v>
      </c>
      <c r="F86" s="186">
        <f ca="1">FV($L$1,F83,,-C85,1)</f>
        <v>1948389.9201842155</v>
      </c>
    </row>
    <row r="87" spans="1:19" s="146" customFormat="1" ht="30" customHeight="1" x14ac:dyDescent="0.25">
      <c r="A87" s="182" t="s">
        <v>380</v>
      </c>
      <c r="B87" s="182"/>
      <c r="C87" s="186">
        <f ca="1">PMT($L$3,C83,,-C86,1)</f>
        <v>12542.198458757643</v>
      </c>
      <c r="D87" s="186">
        <f ca="1">PMT($L$3,D83,,-D86,1)</f>
        <v>22147.376242377897</v>
      </c>
      <c r="E87" s="186">
        <f ca="1">PMT($L$3,E83,,-E86,1)</f>
        <v>7870.7138216138046</v>
      </c>
      <c r="F87" s="186">
        <f ca="1">PMT($L$3,F83,,-F86,1)</f>
        <v>5194.3137069977392</v>
      </c>
    </row>
    <row r="88" spans="1:19" s="146" customFormat="1" ht="30" customHeight="1" x14ac:dyDescent="0.25">
      <c r="O88" s="196"/>
      <c r="P88" s="196"/>
      <c r="Q88" s="196"/>
      <c r="R88" s="196"/>
      <c r="S88" s="196"/>
    </row>
    <row r="89" spans="1:19" s="146" customFormat="1" x14ac:dyDescent="0.25">
      <c r="O89" s="196"/>
      <c r="P89" s="196"/>
      <c r="Q89" s="196"/>
      <c r="R89" s="196"/>
      <c r="S89" s="196"/>
    </row>
  </sheetData>
  <mergeCells count="14">
    <mergeCell ref="AJ17:AQ17"/>
    <mergeCell ref="A1:J1"/>
    <mergeCell ref="N1:Q1"/>
    <mergeCell ref="K5:L5"/>
    <mergeCell ref="M5:N5"/>
    <mergeCell ref="AN42:AS42"/>
    <mergeCell ref="K54:L54"/>
    <mergeCell ref="M54:N54"/>
    <mergeCell ref="A70:D70"/>
    <mergeCell ref="AJ18:AQ18"/>
    <mergeCell ref="K23:L23"/>
    <mergeCell ref="M23:N23"/>
    <mergeCell ref="K37:L37"/>
    <mergeCell ref="M37:N37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FED61-8B19-468A-B506-01D0BAFEB6DC}">
  <dimension ref="A1:AF81"/>
  <sheetViews>
    <sheetView zoomScale="40" zoomScaleNormal="40" workbookViewId="0">
      <selection activeCell="O27" sqref="O27"/>
    </sheetView>
  </sheetViews>
  <sheetFormatPr defaultRowHeight="15" x14ac:dyDescent="0.25"/>
  <cols>
    <col min="1" max="1" width="17.85546875" style="42" customWidth="1"/>
    <col min="2" max="10" width="16.28515625" style="42" customWidth="1"/>
    <col min="11" max="12" width="12.7109375" style="42" customWidth="1"/>
    <col min="13" max="13" width="25.140625" style="104" customWidth="1"/>
    <col min="14" max="14" width="17.140625" style="42" customWidth="1"/>
    <col min="15" max="15" width="29.5703125" style="42" customWidth="1"/>
    <col min="16" max="17" width="12.7109375" style="42" customWidth="1"/>
    <col min="18" max="18" width="19.28515625" style="42" customWidth="1"/>
    <col min="19" max="19" width="15.7109375" style="42" customWidth="1"/>
    <col min="20" max="20" width="16.28515625" style="96" customWidth="1"/>
    <col min="21" max="21" width="15.7109375" style="96" customWidth="1"/>
    <col min="22" max="22" width="19.7109375" style="111" customWidth="1"/>
    <col min="23" max="23" width="14.28515625" style="96" customWidth="1"/>
    <col min="24" max="25" width="11.140625" style="42" customWidth="1"/>
    <col min="26" max="30" width="9.140625" style="42"/>
    <col min="31" max="34" width="14.5703125" style="42" customWidth="1"/>
    <col min="35" max="16384" width="9.140625" style="42"/>
  </cols>
  <sheetData>
    <row r="1" spans="1:20" ht="27.6" customHeight="1" x14ac:dyDescent="0.25">
      <c r="A1" s="230" t="s">
        <v>225</v>
      </c>
      <c r="B1" s="230"/>
      <c r="C1" s="230"/>
      <c r="D1" s="230"/>
      <c r="E1" s="230"/>
      <c r="F1" s="230"/>
      <c r="G1" s="230"/>
      <c r="H1" s="230"/>
      <c r="I1" s="230"/>
      <c r="J1" s="110"/>
      <c r="K1" s="198" t="s">
        <v>428</v>
      </c>
      <c r="L1" s="29">
        <v>5.0000000000000001E-3</v>
      </c>
      <c r="M1" s="111"/>
      <c r="N1" s="224" t="s">
        <v>226</v>
      </c>
      <c r="O1" s="225"/>
      <c r="P1" s="226"/>
      <c r="Q1" s="199" t="s">
        <v>429</v>
      </c>
      <c r="R1" s="200" t="s">
        <v>430</v>
      </c>
      <c r="S1" s="207" t="s">
        <v>431</v>
      </c>
      <c r="T1" s="208" t="s">
        <v>414</v>
      </c>
    </row>
    <row r="2" spans="1:20" ht="27.6" customHeight="1" thickBot="1" x14ac:dyDescent="0.3">
      <c r="A2" s="30" t="s">
        <v>227</v>
      </c>
      <c r="B2" s="30" t="s">
        <v>228</v>
      </c>
      <c r="C2" s="30" t="s">
        <v>265</v>
      </c>
      <c r="D2" s="30" t="s">
        <v>229</v>
      </c>
      <c r="E2" s="30" t="s">
        <v>230</v>
      </c>
      <c r="F2" s="30" t="s">
        <v>231</v>
      </c>
      <c r="G2" s="30" t="s">
        <v>232</v>
      </c>
      <c r="H2" s="30" t="s">
        <v>233</v>
      </c>
      <c r="I2" s="31" t="s">
        <v>234</v>
      </c>
      <c r="J2" s="31" t="s">
        <v>415</v>
      </c>
      <c r="K2" s="198" t="s">
        <v>235</v>
      </c>
      <c r="L2" s="198">
        <v>40</v>
      </c>
      <c r="M2" s="32"/>
      <c r="N2" s="151" t="s">
        <v>236</v>
      </c>
      <c r="O2" s="33" t="s">
        <v>237</v>
      </c>
      <c r="P2" s="152" t="s">
        <v>238</v>
      </c>
      <c r="Q2" s="201">
        <v>0.93</v>
      </c>
      <c r="R2" s="202">
        <f>'Stroški odpadkov'!$S$2</f>
        <v>0.9</v>
      </c>
      <c r="S2" s="209">
        <f>'Capacity factor'!$B$5</f>
        <v>0.90333333333333332</v>
      </c>
      <c r="T2" s="210">
        <v>8760</v>
      </c>
    </row>
    <row r="3" spans="1:20" ht="27.6" customHeight="1" thickBot="1" x14ac:dyDescent="0.3">
      <c r="A3" s="113" t="s">
        <v>239</v>
      </c>
      <c r="B3" s="113">
        <v>1840</v>
      </c>
      <c r="C3" s="113" t="s">
        <v>240</v>
      </c>
      <c r="D3" s="34">
        <f>808*O3</f>
        <v>910.61599999999999</v>
      </c>
      <c r="E3" s="35">
        <f>D3*1000000</f>
        <v>910616000</v>
      </c>
      <c r="F3" s="35">
        <f>FV($L$1,$L$2,,-E3,1)</f>
        <v>1111674764.4526563</v>
      </c>
      <c r="G3" s="35">
        <f>PMT($L$3,$L$2,,-F3,1)</f>
        <v>17044641.137684193</v>
      </c>
      <c r="H3" s="35" cm="1">
        <f t="array" aca="1" ref="H3" ca="1">SUM(G3*(1+$L$3)^ROW(INDIRECT("1:"&amp;$L$2)))</f>
        <v>1111674764.4526553</v>
      </c>
      <c r="I3" s="36">
        <f>G3/B3</f>
        <v>9263.3919226544531</v>
      </c>
      <c r="J3" s="97">
        <f>I3/($T$2*$S$2)</f>
        <v>1.1706252745607912</v>
      </c>
      <c r="K3" s="98" t="s">
        <v>432</v>
      </c>
      <c r="L3" s="103">
        <v>2.2499999999999999E-2</v>
      </c>
      <c r="M3" s="163"/>
      <c r="N3" s="160">
        <f>1.34</f>
        <v>1.34</v>
      </c>
      <c r="O3" s="161">
        <f>1.127</f>
        <v>1.127</v>
      </c>
      <c r="P3" s="162">
        <v>1.002</v>
      </c>
      <c r="Q3" s="203" t="s">
        <v>433</v>
      </c>
      <c r="R3" s="204">
        <v>0</v>
      </c>
      <c r="S3" s="111"/>
    </row>
    <row r="4" spans="1:20" ht="27.6" customHeight="1" thickBot="1" x14ac:dyDescent="0.3">
      <c r="A4" s="113" t="s">
        <v>241</v>
      </c>
      <c r="B4" s="113">
        <v>320</v>
      </c>
      <c r="C4" s="113" t="s">
        <v>242</v>
      </c>
      <c r="D4" s="37">
        <f>280*O3</f>
        <v>315.56</v>
      </c>
      <c r="E4" s="35">
        <f t="shared" ref="E4:E12" si="0">D4*1000000</f>
        <v>315560000</v>
      </c>
      <c r="F4" s="35">
        <f t="shared" ref="F4:F10" si="1">FV($L$1,$L$2,,-E4,1)</f>
        <v>385233829.26577199</v>
      </c>
      <c r="G4" s="35">
        <f t="shared" ref="G4" si="2">PMT($L$3,$L$2,,-F4,1)</f>
        <v>5906558.8100885805</v>
      </c>
      <c r="H4" s="35" cm="1">
        <f t="array" aca="1" ref="H4" ca="1">SUM(G4*(1+$L$3)^ROW(INDIRECT("1:"&amp;$L$2)))</f>
        <v>385233829.26577157</v>
      </c>
      <c r="I4" s="36">
        <f t="shared" ref="I4:I10" si="3">G4/B4</f>
        <v>18457.996281526815</v>
      </c>
      <c r="J4" s="97">
        <f>I4/($T$2*$S$2)</f>
        <v>2.3325577871817744</v>
      </c>
      <c r="K4" s="38"/>
      <c r="L4" s="111"/>
      <c r="M4" s="111"/>
      <c r="N4" s="111"/>
      <c r="O4" s="111"/>
      <c r="P4" s="111"/>
      <c r="Q4" s="205" t="s">
        <v>434</v>
      </c>
      <c r="R4" s="206">
        <f>0.015</f>
        <v>1.4999999999999999E-2</v>
      </c>
      <c r="S4" s="111"/>
    </row>
    <row r="5" spans="1:20" ht="27.6" customHeight="1" x14ac:dyDescent="0.25">
      <c r="A5" s="113" t="s">
        <v>243</v>
      </c>
      <c r="B5" s="113">
        <v>1242</v>
      </c>
      <c r="C5" s="113" t="s">
        <v>244</v>
      </c>
      <c r="D5" s="37">
        <f>520.5*O3</f>
        <v>586.60350000000005</v>
      </c>
      <c r="E5" s="35">
        <f t="shared" si="0"/>
        <v>586603500</v>
      </c>
      <c r="F5" s="35">
        <f t="shared" si="1"/>
        <v>716122171.90297973</v>
      </c>
      <c r="G5" s="35">
        <f>PMT($L$3,$L$2,,-F5,1)</f>
        <v>10979870.930896809</v>
      </c>
      <c r="H5" s="35" cm="1">
        <f t="array" aca="1" ref="H5" ca="1">SUM(G5*(1+$L$3)^ROW(INDIRECT("1:"&amp;$L$2)))</f>
        <v>716122171.90297902</v>
      </c>
      <c r="I5" s="36">
        <f t="shared" si="3"/>
        <v>8840.4757897719883</v>
      </c>
      <c r="J5" s="97">
        <f>I5/($T$2*$S$2)</f>
        <v>1.1171808863382688</v>
      </c>
      <c r="K5" s="214" t="s">
        <v>234</v>
      </c>
      <c r="L5" s="215"/>
      <c r="M5" s="216" t="s">
        <v>415</v>
      </c>
      <c r="N5" s="217"/>
      <c r="O5" s="111"/>
      <c r="P5" s="111"/>
      <c r="Q5" s="111"/>
      <c r="R5" s="111"/>
      <c r="S5" s="111"/>
    </row>
    <row r="6" spans="1:20" ht="27.6" customHeight="1" x14ac:dyDescent="0.25">
      <c r="A6" s="113" t="s">
        <v>245</v>
      </c>
      <c r="B6" s="113">
        <v>340</v>
      </c>
      <c r="C6" s="113" t="s">
        <v>246</v>
      </c>
      <c r="D6" s="37">
        <f>630.4*N3</f>
        <v>844.73599999999999</v>
      </c>
      <c r="E6" s="35">
        <f t="shared" si="0"/>
        <v>844736000</v>
      </c>
      <c r="F6" s="35">
        <f t="shared" si="1"/>
        <v>1031248840.1529064</v>
      </c>
      <c r="G6" s="35">
        <f t="shared" ref="G6:G10" si="4">PMT($L$3,$L$2,,-F6,1)</f>
        <v>15811518.769802852</v>
      </c>
      <c r="H6" s="35" cm="1">
        <f t="array" aca="1" ref="H6" ca="1">SUM(G6*(1+$L$3)^ROW(INDIRECT("1:"&amp;$L$2)))</f>
        <v>1031248840.1529056</v>
      </c>
      <c r="I6" s="36">
        <f t="shared" si="3"/>
        <v>46504.46697000839</v>
      </c>
      <c r="J6" s="97">
        <f t="shared" ref="J6:J10" si="5">I6/($T$2*$S$2)</f>
        <v>5.8768218887439208</v>
      </c>
      <c r="K6" s="99" t="s">
        <v>3</v>
      </c>
      <c r="L6" s="43">
        <f>MIN(I3:I13)</f>
        <v>8840.4757897719883</v>
      </c>
      <c r="M6" s="99" t="s">
        <v>3</v>
      </c>
      <c r="N6" s="81">
        <f ca="1">MIN(J3:J14)</f>
        <v>1.1171808863382688</v>
      </c>
      <c r="O6" s="40"/>
      <c r="P6" s="111"/>
      <c r="Q6" s="111"/>
      <c r="R6" s="111"/>
      <c r="S6" s="111"/>
    </row>
    <row r="7" spans="1:20" ht="27.6" customHeight="1" x14ac:dyDescent="0.25">
      <c r="A7" s="113" t="s">
        <v>247</v>
      </c>
      <c r="B7" s="113">
        <v>1219</v>
      </c>
      <c r="C7" s="113" t="s">
        <v>248</v>
      </c>
      <c r="D7" s="37">
        <f>761.7*N3</f>
        <v>1020.6780000000001</v>
      </c>
      <c r="E7" s="35">
        <f t="shared" si="0"/>
        <v>1020678000.0000001</v>
      </c>
      <c r="F7" s="35">
        <f t="shared" si="1"/>
        <v>1246037819.7088656</v>
      </c>
      <c r="G7" s="35">
        <f t="shared" si="4"/>
        <v>19104749.122713882</v>
      </c>
      <c r="H7" s="35" cm="1">
        <f t="array" aca="1" ref="H7" ca="1">SUM(G7*(1+$L$3)^ROW(INDIRECT("1:"&amp;$L$2)))</f>
        <v>1246037819.7088642</v>
      </c>
      <c r="I7" s="36">
        <f t="shared" si="3"/>
        <v>15672.476720848141</v>
      </c>
      <c r="J7" s="97">
        <f t="shared" si="5"/>
        <v>1.9805485417843782</v>
      </c>
      <c r="K7" s="99" t="s">
        <v>20</v>
      </c>
      <c r="L7" s="43">
        <f>AVERAGE(I3:I13)</f>
        <v>25490.699879983509</v>
      </c>
      <c r="M7" s="99" t="s">
        <v>20</v>
      </c>
      <c r="N7" s="81">
        <f ca="1">AVERAGE(J3:J14)</f>
        <v>3.412957093633409</v>
      </c>
      <c r="O7" s="111"/>
      <c r="P7" s="111"/>
      <c r="Q7" s="111"/>
      <c r="R7" s="111"/>
      <c r="S7" s="111"/>
    </row>
    <row r="8" spans="1:20" ht="27.6" customHeight="1" x14ac:dyDescent="0.25">
      <c r="A8" s="113" t="s">
        <v>249</v>
      </c>
      <c r="B8" s="113">
        <f>5*408</f>
        <v>2040</v>
      </c>
      <c r="C8" s="113" t="s">
        <v>250</v>
      </c>
      <c r="D8" s="37">
        <f>4202.4*N3</f>
        <v>5631.2159999999994</v>
      </c>
      <c r="E8" s="35">
        <f t="shared" si="0"/>
        <v>5631215999.999999</v>
      </c>
      <c r="F8" s="35">
        <f t="shared" si="1"/>
        <v>6874556037.212204</v>
      </c>
      <c r="G8" s="35">
        <f t="shared" si="4"/>
        <v>105403436.6723025</v>
      </c>
      <c r="H8" s="35" cm="1">
        <f t="array" aca="1" ref="H8" ca="1">SUM(G8*(1+$L$3)^ROW(INDIRECT("1:"&amp;$L$2)))</f>
        <v>6874556037.2121973</v>
      </c>
      <c r="I8" s="36">
        <f t="shared" si="3"/>
        <v>51668.351309952202</v>
      </c>
      <c r="J8" s="97">
        <f t="shared" si="5"/>
        <v>6.5293877710600263</v>
      </c>
      <c r="K8" s="99" t="s">
        <v>5</v>
      </c>
      <c r="L8" s="43">
        <f>MAX(I3:I13)</f>
        <v>51668.351309952202</v>
      </c>
      <c r="M8" s="99" t="s">
        <v>5</v>
      </c>
      <c r="N8" s="81">
        <f ca="1">MAX(J3:J14)</f>
        <v>6.5293877710600263</v>
      </c>
      <c r="O8" s="38"/>
      <c r="P8" s="111"/>
      <c r="Q8" s="111"/>
      <c r="R8" s="111"/>
      <c r="S8" s="111"/>
    </row>
    <row r="9" spans="1:20" ht="27.6" customHeight="1" x14ac:dyDescent="0.25">
      <c r="A9" s="113" t="s">
        <v>251</v>
      </c>
      <c r="B9" s="113">
        <f>2*365</f>
        <v>730</v>
      </c>
      <c r="C9" s="113" t="s">
        <v>252</v>
      </c>
      <c r="D9" s="37">
        <f>887.5*N3</f>
        <v>1189.25</v>
      </c>
      <c r="E9" s="35">
        <f t="shared" si="0"/>
        <v>1189250000</v>
      </c>
      <c r="F9" s="35">
        <f t="shared" si="1"/>
        <v>1451829545.7419169</v>
      </c>
      <c r="G9" s="35">
        <f t="shared" si="4"/>
        <v>22260029.993972126</v>
      </c>
      <c r="H9" s="35" cm="1">
        <f t="array" aca="1" ref="H9" ca="1">SUM(G9*(1+$L$3)^ROW(INDIRECT("1:"&amp;$L$2)))</f>
        <v>1451829545.7419152</v>
      </c>
      <c r="I9" s="36">
        <f t="shared" si="3"/>
        <v>30493.191772564558</v>
      </c>
      <c r="J9" s="97">
        <f t="shared" si="5"/>
        <v>3.8534590017394428</v>
      </c>
      <c r="K9" s="100" t="s">
        <v>266</v>
      </c>
      <c r="L9" s="39">
        <f>$L$6</f>
        <v>8840.4757897719883</v>
      </c>
      <c r="M9" s="100" t="s">
        <v>266</v>
      </c>
      <c r="N9" s="101">
        <f ca="1">$N$6</f>
        <v>1.1171808863382688</v>
      </c>
      <c r="O9" s="38"/>
      <c r="P9" s="111"/>
      <c r="Q9" s="111"/>
      <c r="R9" s="111"/>
      <c r="S9" s="111"/>
    </row>
    <row r="10" spans="1:20" ht="27.6" customHeight="1" x14ac:dyDescent="0.25">
      <c r="A10" s="113" t="s">
        <v>253</v>
      </c>
      <c r="B10" s="113">
        <v>1010</v>
      </c>
      <c r="C10" s="113" t="s">
        <v>254</v>
      </c>
      <c r="D10" s="37">
        <f>835.2*N3</f>
        <v>1119.1680000000001</v>
      </c>
      <c r="E10" s="35">
        <f t="shared" si="0"/>
        <v>1119168000.0000002</v>
      </c>
      <c r="F10" s="35">
        <f t="shared" si="1"/>
        <v>1366273844.0604498</v>
      </c>
      <c r="G10" s="35">
        <f t="shared" si="4"/>
        <v>20948255.832073826</v>
      </c>
      <c r="H10" s="35" cm="1">
        <f t="array" aca="1" ref="H10" ca="1">SUM(G10*(1+$L$3)^ROW(INDIRECT("1:"&amp;$L$2)))</f>
        <v>1366273844.0604479</v>
      </c>
      <c r="I10" s="36">
        <f t="shared" si="3"/>
        <v>20740.847358488936</v>
      </c>
      <c r="J10" s="97">
        <f t="shared" si="5"/>
        <v>2.6210442499227793</v>
      </c>
      <c r="K10" s="100" t="s">
        <v>267</v>
      </c>
      <c r="L10" s="39">
        <f>$L$8</f>
        <v>51668.351309952202</v>
      </c>
      <c r="M10" s="100" t="s">
        <v>267</v>
      </c>
      <c r="N10" s="101">
        <f ca="1">$N$8</f>
        <v>6.5293877710600263</v>
      </c>
      <c r="O10" s="38"/>
      <c r="P10" s="111"/>
      <c r="Q10" s="111"/>
      <c r="R10" s="111"/>
      <c r="S10" s="111"/>
    </row>
    <row r="11" spans="1:20" ht="27.6" customHeight="1" x14ac:dyDescent="0.25">
      <c r="A11" s="113" t="s">
        <v>255</v>
      </c>
      <c r="B11" s="113">
        <v>696</v>
      </c>
      <c r="C11" s="171" t="s">
        <v>419</v>
      </c>
      <c r="D11" s="41">
        <f>568</f>
        <v>568</v>
      </c>
      <c r="E11" s="35">
        <f t="shared" si="0"/>
        <v>568000000</v>
      </c>
      <c r="F11" s="35">
        <f>FV($L$1,$L$2,,-E11,1)</f>
        <v>693411126.3244977</v>
      </c>
      <c r="G11" s="35">
        <f>PMT($L$3,$L$2,,-F11,1)</f>
        <v>10631656.116524</v>
      </c>
      <c r="H11" s="35" cm="1">
        <f t="array" aca="1" ref="H11" ca="1">SUM(G11*(1+$L$3)^ROW(INDIRECT("1:"&amp;$L$2)))</f>
        <v>693411126.32449687</v>
      </c>
      <c r="I11" s="36">
        <f>G11/B11</f>
        <v>15275.367983511494</v>
      </c>
      <c r="J11" s="97">
        <f>I11/($T$2*$R$2)</f>
        <v>1.937514964930428</v>
      </c>
      <c r="K11" s="38"/>
      <c r="L11" s="38"/>
      <c r="M11" s="38"/>
      <c r="N11" s="38"/>
      <c r="O11" s="38"/>
      <c r="P11" s="111"/>
      <c r="Q11" s="111"/>
      <c r="R11" s="111"/>
      <c r="S11" s="111"/>
    </row>
    <row r="12" spans="1:20" ht="27.6" customHeight="1" x14ac:dyDescent="0.25">
      <c r="A12" s="113" t="s">
        <v>256</v>
      </c>
      <c r="B12" s="113">
        <f>1250</f>
        <v>1250</v>
      </c>
      <c r="C12" s="113" t="s">
        <v>435</v>
      </c>
      <c r="D12" s="41">
        <f>3227*$C$69</f>
        <v>2185.4138613861387</v>
      </c>
      <c r="E12" s="35">
        <f t="shared" si="0"/>
        <v>2185413861.3861389</v>
      </c>
      <c r="F12" s="35">
        <f>FV($R$3,$L$2,,-E12,1)</f>
        <v>2185413861.3861389</v>
      </c>
      <c r="G12" s="35">
        <f>PMT($R$4,$L$2,,-F12,1)</f>
        <v>39675707.856557257</v>
      </c>
      <c r="H12" s="35" cm="1">
        <f t="array" aca="1" ref="H12" ca="1">SUM(G12*(1+$R$4)^ROW(INDIRECT("1:"&amp;$L$2)))</f>
        <v>2185413861.3861327</v>
      </c>
      <c r="I12" s="36">
        <f>G12/B12</f>
        <v>31740.566285245804</v>
      </c>
      <c r="J12" s="97">
        <f>I12/($T$2*$Q$2)</f>
        <v>3.8960777587820745</v>
      </c>
      <c r="K12" s="111"/>
      <c r="L12" s="38"/>
      <c r="M12" s="38"/>
      <c r="N12" s="38"/>
      <c r="O12" s="38"/>
      <c r="P12" s="111"/>
      <c r="Q12" s="111"/>
      <c r="R12" s="111"/>
      <c r="S12" s="111"/>
    </row>
    <row r="13" spans="1:20" ht="27.6" customHeight="1" x14ac:dyDescent="0.25">
      <c r="A13" s="113" t="s">
        <v>256</v>
      </c>
      <c r="B13" s="113">
        <f>1250</f>
        <v>1250</v>
      </c>
      <c r="C13" s="113" t="s">
        <v>435</v>
      </c>
      <c r="D13" s="41">
        <f>3227*$C$69</f>
        <v>2185.4138613861387</v>
      </c>
      <c r="E13" s="35">
        <f>D13*1000000</f>
        <v>2185413861.3861389</v>
      </c>
      <c r="F13" s="35">
        <f>FV($R$3,$L$2,,-E13,1)</f>
        <v>2185413861.3861389</v>
      </c>
      <c r="G13" s="35">
        <f>PMT($R$4,$L$2,,-F13,1)</f>
        <v>39675707.856557257</v>
      </c>
      <c r="H13" s="35" cm="1">
        <f t="array" aca="1" ref="H13" ca="1">SUM(G13*(1+$R$4)^ROW(INDIRECT("1:"&amp;$L$2)))</f>
        <v>2185413861.3861327</v>
      </c>
      <c r="I13" s="36">
        <f>G13/B13</f>
        <v>31740.566285245804</v>
      </c>
      <c r="J13" s="97">
        <f>I13/($T$2*$Q$2)</f>
        <v>3.8960777587820745</v>
      </c>
      <c r="K13" s="38"/>
      <c r="L13" s="38"/>
      <c r="M13" s="38"/>
      <c r="N13" s="38"/>
      <c r="O13" s="38"/>
      <c r="P13" s="111"/>
      <c r="Q13" s="111"/>
      <c r="R13" s="111"/>
      <c r="S13" s="111"/>
    </row>
    <row r="14" spans="1:20" ht="27.6" customHeight="1" x14ac:dyDescent="0.25">
      <c r="A14" s="113" t="s">
        <v>439</v>
      </c>
      <c r="B14" s="113"/>
      <c r="C14" s="113"/>
      <c r="D14" s="37"/>
      <c r="E14" s="35"/>
      <c r="F14" s="35"/>
      <c r="G14" s="35"/>
      <c r="H14" s="35"/>
      <c r="I14" s="36">
        <f ca="1">$D$81</f>
        <v>45454.918292187154</v>
      </c>
      <c r="J14" s="97">
        <f t="shared" ref="J14" ca="1" si="6">I14/($T$2*$S$2)</f>
        <v>5.7441892397749523</v>
      </c>
      <c r="K14" s="110" t="s">
        <v>259</v>
      </c>
      <c r="L14" s="110">
        <v>60</v>
      </c>
      <c r="M14" s="111"/>
      <c r="N14" s="111"/>
      <c r="O14" s="111"/>
      <c r="P14" s="111"/>
      <c r="Q14" s="111"/>
      <c r="R14" s="111"/>
      <c r="S14" s="111"/>
    </row>
    <row r="15" spans="1:20" ht="27.6" customHeight="1" x14ac:dyDescent="0.25">
      <c r="A15" s="230" t="s">
        <v>258</v>
      </c>
      <c r="B15" s="230"/>
      <c r="C15" s="230"/>
      <c r="D15" s="230"/>
      <c r="E15" s="230"/>
      <c r="F15" s="230"/>
      <c r="G15" s="230"/>
      <c r="H15" s="230"/>
      <c r="I15" s="230"/>
      <c r="J15" s="110"/>
      <c r="K15" s="102"/>
      <c r="L15" s="102"/>
      <c r="M15" s="111"/>
      <c r="N15" s="111"/>
      <c r="O15" s="111"/>
      <c r="P15" s="111"/>
      <c r="Q15" s="111"/>
      <c r="R15" s="111"/>
      <c r="S15" s="111"/>
    </row>
    <row r="16" spans="1:20" ht="27.6" customHeight="1" x14ac:dyDescent="0.25">
      <c r="A16" s="30" t="str">
        <f t="shared" ref="A16:E24" si="7">A2</f>
        <v>Jedrska elektrarna</v>
      </c>
      <c r="B16" s="30" t="str">
        <f t="shared" si="7"/>
        <v>Moč reaktorja (MW)</v>
      </c>
      <c r="C16" s="30" t="str">
        <f t="shared" si="7"/>
        <v>Cena razgradnje 2020-2023 (mio. €)</v>
      </c>
      <c r="D16" s="30" t="str">
        <f t="shared" si="7"/>
        <v>Cena razgradnje 2024 (mio. €)</v>
      </c>
      <c r="E16" s="30" t="str">
        <f t="shared" si="7"/>
        <v>Cena razgradnje 2024 [EUR]</v>
      </c>
      <c r="F16" s="30" t="s">
        <v>260</v>
      </c>
      <c r="G16" s="30" t="s">
        <v>261</v>
      </c>
      <c r="H16" s="30" t="s">
        <v>233</v>
      </c>
      <c r="I16" s="31" t="s">
        <v>234</v>
      </c>
      <c r="J16" s="31" t="s">
        <v>415</v>
      </c>
      <c r="K16" s="111"/>
      <c r="L16" s="111"/>
      <c r="M16" s="111"/>
      <c r="N16" s="111"/>
      <c r="O16" s="111"/>
      <c r="P16" s="111"/>
      <c r="Q16" s="111"/>
      <c r="R16" s="111"/>
      <c r="S16" s="111"/>
    </row>
    <row r="17" spans="1:32" ht="27.6" customHeight="1" x14ac:dyDescent="0.25">
      <c r="A17" s="113" t="str">
        <f t="shared" si="7"/>
        <v>Fessenheim 1,2 (Francija)</v>
      </c>
      <c r="B17" s="113">
        <f t="shared" si="7"/>
        <v>1840</v>
      </c>
      <c r="C17" s="113" t="str">
        <f t="shared" si="7"/>
        <v>808 (2021)</v>
      </c>
      <c r="D17" s="34">
        <f t="shared" si="7"/>
        <v>910.61599999999999</v>
      </c>
      <c r="E17" s="35">
        <f t="shared" si="7"/>
        <v>910616000</v>
      </c>
      <c r="F17" s="35">
        <f t="shared" ref="F17:F25" si="8">FV($L$1,$L$14,,-E17,1)</f>
        <v>1228284530.5138369</v>
      </c>
      <c r="G17" s="35">
        <f t="shared" ref="G17:G25" si="9">PMT($L$3,$L$14,,-F17,1)</f>
        <v>9652487.4760599267</v>
      </c>
      <c r="H17" s="35" cm="1">
        <f t="array" aca="1" ref="H17" ca="1">SUM(G17*(1+$L$3)^ROW(INDIRECT("1:"&amp;$L$14)))</f>
        <v>1228284530.513834</v>
      </c>
      <c r="I17" s="36">
        <f t="shared" ref="I17:I24" si="10">G17/B17</f>
        <v>5245.9171065543078</v>
      </c>
      <c r="J17" s="97">
        <f>I17/($T$2*$S$2)</f>
        <v>0.66293245546104074</v>
      </c>
      <c r="K17" s="111"/>
      <c r="L17" s="111"/>
      <c r="M17" s="111"/>
      <c r="N17" s="111"/>
      <c r="O17" s="111"/>
      <c r="P17" s="111"/>
      <c r="Q17" s="111"/>
      <c r="R17" s="111"/>
      <c r="S17" s="111"/>
    </row>
    <row r="18" spans="1:32" ht="27.6" customHeight="1" x14ac:dyDescent="0.25">
      <c r="A18" s="113" t="str">
        <f t="shared" si="7"/>
        <v>Chooz-A (Francija)</v>
      </c>
      <c r="B18" s="113">
        <f t="shared" si="7"/>
        <v>320</v>
      </c>
      <c r="C18" s="113" t="str">
        <f t="shared" si="7"/>
        <v>280 (2021)</v>
      </c>
      <c r="D18" s="37">
        <f t="shared" si="7"/>
        <v>315.56</v>
      </c>
      <c r="E18" s="35">
        <f t="shared" si="7"/>
        <v>315560000</v>
      </c>
      <c r="F18" s="35">
        <f t="shared" si="8"/>
        <v>425643154.13845831</v>
      </c>
      <c r="G18" s="35">
        <f t="shared" si="9"/>
        <v>3344921.4025950241</v>
      </c>
      <c r="H18" s="35" cm="1">
        <f t="array" aca="1" ref="H18" ca="1">SUM(G18*(1+$L$3)^ROW(INDIRECT("1:"&amp;$L$14)))</f>
        <v>425643154.13845736</v>
      </c>
      <c r="I18" s="36">
        <f t="shared" si="10"/>
        <v>10452.87938310945</v>
      </c>
      <c r="J18" s="97">
        <f>I18/($T$2*$S$2)</f>
        <v>1.3209421451637076</v>
      </c>
      <c r="K18" s="111"/>
      <c r="L18" s="111"/>
      <c r="M18" s="111"/>
      <c r="N18" s="111"/>
      <c r="O18" s="111"/>
      <c r="P18" s="111"/>
      <c r="Q18" s="111"/>
      <c r="R18" s="111"/>
      <c r="S18" s="111"/>
    </row>
    <row r="19" spans="1:32" ht="27.6" customHeight="1" x14ac:dyDescent="0.25">
      <c r="A19" s="113" t="str">
        <f t="shared" si="7"/>
        <v>Super-Phenix (Francija)</v>
      </c>
      <c r="B19" s="113">
        <f t="shared" si="7"/>
        <v>1242</v>
      </c>
      <c r="C19" s="113" t="str">
        <f t="shared" si="7"/>
        <v>520.5 (2021)</v>
      </c>
      <c r="D19" s="37">
        <f t="shared" si="7"/>
        <v>586.60350000000005</v>
      </c>
      <c r="E19" s="35">
        <f t="shared" si="7"/>
        <v>586603500</v>
      </c>
      <c r="F19" s="35">
        <f t="shared" si="8"/>
        <v>791240220.4609555</v>
      </c>
      <c r="G19" s="35">
        <f t="shared" si="9"/>
        <v>6217969.9644668242</v>
      </c>
      <c r="H19" s="35" cm="1">
        <f t="array" aca="1" ref="H19" ca="1">SUM(G19*(1+$L$3)^ROW(INDIRECT("1:"&amp;$L$14)))</f>
        <v>791240220.46095407</v>
      </c>
      <c r="I19" s="36">
        <f t="shared" si="10"/>
        <v>5006.4170406335143</v>
      </c>
      <c r="J19" s="97">
        <f>I19/($T$2*$S$2)</f>
        <v>0.63266656227992646</v>
      </c>
      <c r="K19" s="214" t="s">
        <v>234</v>
      </c>
      <c r="L19" s="215"/>
      <c r="M19" s="216" t="s">
        <v>415</v>
      </c>
      <c r="N19" s="217"/>
      <c r="O19" s="38"/>
      <c r="P19" s="111"/>
      <c r="Q19" s="111"/>
      <c r="R19" s="111"/>
      <c r="S19" s="111"/>
    </row>
    <row r="20" spans="1:32" ht="27.6" customHeight="1" x14ac:dyDescent="0.25">
      <c r="A20" s="113" t="str">
        <f t="shared" si="7"/>
        <v>Obrigheim (Nemčija)</v>
      </c>
      <c r="B20" s="113">
        <f t="shared" si="7"/>
        <v>340</v>
      </c>
      <c r="C20" s="113" t="str">
        <f t="shared" si="7"/>
        <v>630.4 (2020)</v>
      </c>
      <c r="D20" s="37">
        <f t="shared" si="7"/>
        <v>844.73599999999999</v>
      </c>
      <c r="E20" s="35">
        <f t="shared" si="7"/>
        <v>844736000</v>
      </c>
      <c r="F20" s="35">
        <f t="shared" si="8"/>
        <v>1139422282.4638886</v>
      </c>
      <c r="G20" s="35">
        <f t="shared" si="9"/>
        <v>8954162.5235850904</v>
      </c>
      <c r="H20" s="35" cm="1">
        <f t="array" aca="1" ref="H20" ca="1">SUM(G20*(1+$L$3)^ROW(INDIRECT("1:"&amp;$L$14)))</f>
        <v>1139422282.4638865</v>
      </c>
      <c r="I20" s="36">
        <f t="shared" si="10"/>
        <v>26335.772128191442</v>
      </c>
      <c r="J20" s="97">
        <f t="shared" ref="J20:J24" si="11">I20/($T$2*$S$2)</f>
        <v>3.328081197011505</v>
      </c>
      <c r="K20" s="99" t="s">
        <v>3</v>
      </c>
      <c r="L20" s="43">
        <f ca="1">MIN(I17:I28)</f>
        <v>5006.4170406335143</v>
      </c>
      <c r="M20" s="99" t="s">
        <v>3</v>
      </c>
      <c r="N20" s="81">
        <f ca="1">MIN(J17:J28)</f>
        <v>0.63266656227992646</v>
      </c>
      <c r="O20" s="38"/>
      <c r="P20" s="111"/>
      <c r="Q20" s="111"/>
      <c r="R20" s="111"/>
      <c r="S20" s="111"/>
    </row>
    <row r="21" spans="1:32" ht="27.6" customHeight="1" x14ac:dyDescent="0.25">
      <c r="A21" s="113" t="str">
        <f t="shared" si="7"/>
        <v>Muelheim-Kaerlich (Nemčija)</v>
      </c>
      <c r="B21" s="113">
        <f t="shared" si="7"/>
        <v>1219</v>
      </c>
      <c r="C21" s="113" t="str">
        <f t="shared" si="7"/>
        <v>761.7 (2020)</v>
      </c>
      <c r="D21" s="37">
        <f t="shared" si="7"/>
        <v>1020.6780000000001</v>
      </c>
      <c r="E21" s="35">
        <f t="shared" si="7"/>
        <v>1020678000.0000001</v>
      </c>
      <c r="F21" s="35">
        <f t="shared" si="8"/>
        <v>1376741676.0037184</v>
      </c>
      <c r="G21" s="35">
        <f t="shared" si="9"/>
        <v>10819139.584731542</v>
      </c>
      <c r="H21" s="35" cm="1">
        <f t="array" aca="1" ref="H21" ca="1">SUM(G21*(1+$L$3)^ROW(INDIRECT("1:"&amp;$L$14)))</f>
        <v>1376741676.0037155</v>
      </c>
      <c r="I21" s="36">
        <f t="shared" si="10"/>
        <v>8875.4221367773098</v>
      </c>
      <c r="J21" s="97">
        <f t="shared" si="11"/>
        <v>1.1215970955842529</v>
      </c>
      <c r="K21" s="99" t="s">
        <v>20</v>
      </c>
      <c r="L21" s="43">
        <f ca="1">AVERAGE(I17:I28)</f>
        <v>15365.653996446532</v>
      </c>
      <c r="M21" s="99" t="s">
        <v>20</v>
      </c>
      <c r="N21" s="81">
        <f ca="1">AVERAGE(J17:J28)</f>
        <v>1.9313005887908645</v>
      </c>
      <c r="O21" s="38"/>
      <c r="P21" s="111"/>
      <c r="Q21" s="111"/>
      <c r="R21" s="111"/>
      <c r="S21" s="111"/>
    </row>
    <row r="22" spans="1:32" ht="27.6" customHeight="1" x14ac:dyDescent="0.25">
      <c r="A22" s="113" t="str">
        <f t="shared" si="7"/>
        <v>Greifswald 1-5 (Nemčija)</v>
      </c>
      <c r="B22" s="113">
        <f t="shared" si="7"/>
        <v>2040</v>
      </c>
      <c r="C22" s="113" t="str">
        <f t="shared" si="7"/>
        <v>4202.4 (2020)</v>
      </c>
      <c r="D22" s="37">
        <f t="shared" si="7"/>
        <v>5631.2159999999994</v>
      </c>
      <c r="E22" s="35">
        <f t="shared" si="7"/>
        <v>5631215999.999999</v>
      </c>
      <c r="F22" s="35">
        <f t="shared" si="8"/>
        <v>7595666560.6380787</v>
      </c>
      <c r="G22" s="35">
        <f t="shared" si="9"/>
        <v>59690629.107097022</v>
      </c>
      <c r="H22" s="35" cm="1">
        <f t="array" aca="1" ref="H22" ca="1">SUM(G22*(1+$L$3)^ROW(INDIRECT("1:"&amp;$L$14)))</f>
        <v>7595666560.6380615</v>
      </c>
      <c r="I22" s="36">
        <f t="shared" si="10"/>
        <v>29260.112307400501</v>
      </c>
      <c r="J22" s="97">
        <f t="shared" si="11"/>
        <v>3.6976333603852427</v>
      </c>
      <c r="K22" s="99" t="s">
        <v>5</v>
      </c>
      <c r="L22" s="43">
        <f ca="1">MAX(I17:I28)</f>
        <v>29260.112307400501</v>
      </c>
      <c r="M22" s="99" t="s">
        <v>5</v>
      </c>
      <c r="N22" s="81">
        <f ca="1">MAX(J17:J28)</f>
        <v>3.6976333603852427</v>
      </c>
      <c r="O22" s="38"/>
      <c r="P22" s="111"/>
      <c r="Q22" s="111"/>
      <c r="R22" s="111"/>
      <c r="S22" s="111"/>
    </row>
    <row r="23" spans="1:32" ht="27.6" customHeight="1" x14ac:dyDescent="0.25">
      <c r="A23" s="113" t="str">
        <f t="shared" si="7"/>
        <v>Beznau 1, 2 (Švica)</v>
      </c>
      <c r="B23" s="113">
        <f t="shared" si="7"/>
        <v>730</v>
      </c>
      <c r="C23" s="113" t="str">
        <f t="shared" si="7"/>
        <v>887,5 (2020)</v>
      </c>
      <c r="D23" s="113">
        <f t="shared" si="7"/>
        <v>1189.25</v>
      </c>
      <c r="E23" s="113">
        <f t="shared" si="7"/>
        <v>1189250000</v>
      </c>
      <c r="F23" s="35">
        <f t="shared" si="8"/>
        <v>1604120043.9192595</v>
      </c>
      <c r="G23" s="35">
        <f t="shared" si="9"/>
        <v>12605994.986804837</v>
      </c>
      <c r="H23" s="35" cm="1">
        <f t="array" aca="1" ref="H23" ca="1">SUM(G23*(1+$L$3)^ROW(INDIRECT("1:"&amp;$L$14)))</f>
        <v>1604120043.9192572</v>
      </c>
      <c r="I23" s="36">
        <f t="shared" si="10"/>
        <v>17268.486283294296</v>
      </c>
      <c r="J23" s="97">
        <f t="shared" si="11"/>
        <v>2.1822380684545184</v>
      </c>
      <c r="K23" s="100" t="s">
        <v>266</v>
      </c>
      <c r="L23" s="39">
        <f ca="1">$L$20</f>
        <v>5006.4170406335143</v>
      </c>
      <c r="M23" s="100" t="s">
        <v>266</v>
      </c>
      <c r="N23" s="101">
        <f ca="1">$N$20</f>
        <v>0.63266656227992646</v>
      </c>
      <c r="O23" s="38"/>
      <c r="P23" s="111"/>
      <c r="Q23" s="111"/>
      <c r="R23" s="111"/>
      <c r="S23" s="111"/>
    </row>
    <row r="24" spans="1:32" ht="27.6" customHeight="1" x14ac:dyDescent="0.25">
      <c r="A24" s="113" t="str">
        <f t="shared" si="7"/>
        <v>Gosgen (Švica)</v>
      </c>
      <c r="B24" s="113">
        <f t="shared" si="7"/>
        <v>1010</v>
      </c>
      <c r="C24" s="113" t="str">
        <f t="shared" si="7"/>
        <v>835.2 (2020)</v>
      </c>
      <c r="D24" s="37">
        <f t="shared" si="7"/>
        <v>1119.1680000000001</v>
      </c>
      <c r="E24" s="35">
        <f t="shared" si="7"/>
        <v>1119168000.0000002</v>
      </c>
      <c r="F24" s="35">
        <f t="shared" si="8"/>
        <v>1509589927.5282996</v>
      </c>
      <c r="G24" s="35">
        <f t="shared" si="9"/>
        <v>11863129.028709183</v>
      </c>
      <c r="H24" s="35" cm="1">
        <f t="array" aca="1" ref="H24" ca="1">SUM(G24*(1+$L$3)^ROW(INDIRECT("1:"&amp;$L$14)))</f>
        <v>1509589927.5282967</v>
      </c>
      <c r="I24" s="36">
        <f t="shared" si="10"/>
        <v>11745.672305652655</v>
      </c>
      <c r="J24" s="97">
        <f t="shared" si="11"/>
        <v>1.484313843407554</v>
      </c>
      <c r="K24" s="100" t="s">
        <v>267</v>
      </c>
      <c r="L24" s="39">
        <f ca="1">$L$22</f>
        <v>29260.112307400501</v>
      </c>
      <c r="M24" s="100" t="s">
        <v>267</v>
      </c>
      <c r="N24" s="101">
        <f ca="1">$N$22</f>
        <v>3.6976333603852427</v>
      </c>
      <c r="O24" s="38"/>
      <c r="P24" s="111"/>
      <c r="Q24" s="111"/>
      <c r="R24" s="111"/>
      <c r="S24" s="111"/>
    </row>
    <row r="25" spans="1:32" ht="27.6" customHeight="1" x14ac:dyDescent="0.25">
      <c r="A25" s="113" t="s">
        <v>255</v>
      </c>
      <c r="B25" s="113">
        <v>696</v>
      </c>
      <c r="C25" s="171" t="str">
        <f t="shared" ref="C25:D25" si="12">C11</f>
        <v>568 (2024)</v>
      </c>
      <c r="D25" s="41">
        <f t="shared" si="12"/>
        <v>568</v>
      </c>
      <c r="E25" s="35">
        <f>D25*1000000</f>
        <v>568000000</v>
      </c>
      <c r="F25" s="35">
        <f t="shared" si="8"/>
        <v>766146886.64800453</v>
      </c>
      <c r="G25" s="35">
        <f t="shared" si="9"/>
        <v>6020773.7250411147</v>
      </c>
      <c r="H25" s="35" cm="1">
        <f t="array" aca="1" ref="H25" ca="1">SUM(G25*(1+$L$3)^ROW(INDIRECT("1:"&amp;$L$14)))</f>
        <v>766146886.64800286</v>
      </c>
      <c r="I25" s="36">
        <f>G25/B25</f>
        <v>8650.5369612659688</v>
      </c>
      <c r="J25" s="97">
        <f>I25/($T$2*$R$2)</f>
        <v>1.0972269103584436</v>
      </c>
      <c r="K25" s="111"/>
      <c r="L25" s="38"/>
      <c r="M25" s="38"/>
      <c r="N25" s="38"/>
      <c r="O25" s="38"/>
      <c r="P25" s="111"/>
      <c r="Q25" s="111"/>
      <c r="R25" s="111"/>
      <c r="S25" s="111"/>
    </row>
    <row r="26" spans="1:32" ht="27.6" customHeight="1" x14ac:dyDescent="0.25">
      <c r="A26" s="113" t="s">
        <v>256</v>
      </c>
      <c r="B26" s="113">
        <f>1250</f>
        <v>1250</v>
      </c>
      <c r="C26" s="113" t="s">
        <v>435</v>
      </c>
      <c r="D26" s="41">
        <f>3227*$C$69</f>
        <v>2185.4138613861387</v>
      </c>
      <c r="E26" s="35">
        <f>D26*1000000</f>
        <v>2185413861.3861389</v>
      </c>
      <c r="F26" s="35">
        <f>FV($R$3,$L$14,,-E26,1)</f>
        <v>2185413861.3861389</v>
      </c>
      <c r="G26" s="35">
        <f>PMT($R$4,$L$14,,-F26,1)</f>
        <v>22378266.370950807</v>
      </c>
      <c r="H26" s="35" cm="1">
        <f t="array" aca="1" ref="H26" ca="1">SUM(G26*(1+$R$4)^ROW(INDIRECT("1:"&amp;$L$14)))</f>
        <v>2185413861.3861275</v>
      </c>
      <c r="I26" s="36">
        <f>G26/B26</f>
        <v>17902.613096760644</v>
      </c>
      <c r="J26" s="97">
        <f>I26/($T$2*$Q$2)</f>
        <v>2.1975024668287726</v>
      </c>
      <c r="K26" s="38"/>
      <c r="L26" s="38"/>
      <c r="M26" s="38"/>
      <c r="N26" s="38"/>
      <c r="O26" s="38"/>
      <c r="P26" s="111"/>
      <c r="Q26" s="111"/>
      <c r="R26" s="111"/>
      <c r="S26" s="111"/>
    </row>
    <row r="27" spans="1:32" ht="27.6" customHeight="1" x14ac:dyDescent="0.25">
      <c r="A27" s="113" t="s">
        <v>256</v>
      </c>
      <c r="B27" s="113">
        <f>1250</f>
        <v>1250</v>
      </c>
      <c r="C27" s="113" t="s">
        <v>435</v>
      </c>
      <c r="D27" s="41">
        <f>3227*$C$69</f>
        <v>2185.4138613861387</v>
      </c>
      <c r="E27" s="35">
        <f>D27*1000000</f>
        <v>2185413861.3861389</v>
      </c>
      <c r="F27" s="35">
        <f>FV($R$3,$L$14,,-E27,1)</f>
        <v>2185413861.3861389</v>
      </c>
      <c r="G27" s="35">
        <f>PMT($R$4,$L$14,,-F27,1)</f>
        <v>22378266.370950807</v>
      </c>
      <c r="H27" s="35" cm="1">
        <f t="array" aca="1" ref="H27" ca="1">SUM(G27*(1+$R$4)^ROW(INDIRECT("1:"&amp;$L$14)))</f>
        <v>2185413861.3861275</v>
      </c>
      <c r="I27" s="36">
        <f>G27/B27</f>
        <v>17902.613096760644</v>
      </c>
      <c r="J27" s="97">
        <f>I27/($T$2*$Q$2)</f>
        <v>2.1975024668287726</v>
      </c>
      <c r="K27" s="111"/>
      <c r="L27" s="111"/>
      <c r="M27" s="111"/>
      <c r="N27" s="111"/>
      <c r="O27" s="111"/>
      <c r="P27" s="111"/>
      <c r="Q27" s="111"/>
      <c r="R27" s="111"/>
      <c r="S27" s="111"/>
    </row>
    <row r="28" spans="1:32" ht="27.6" customHeight="1" x14ac:dyDescent="0.25">
      <c r="A28" s="113" t="str">
        <f>$A$14</f>
        <v>Čehi</v>
      </c>
      <c r="B28" s="113"/>
      <c r="C28" s="113"/>
      <c r="D28" s="37"/>
      <c r="E28" s="35"/>
      <c r="F28" s="35"/>
      <c r="G28" s="35"/>
      <c r="H28" s="35"/>
      <c r="I28" s="36">
        <f ca="1">$C$81</f>
        <v>25741.406110957651</v>
      </c>
      <c r="J28" s="97">
        <f t="shared" ref="J28" ca="1" si="13">I28/($T$2*$S$2)</f>
        <v>3.2529704937266404</v>
      </c>
      <c r="K28" s="110" t="s">
        <v>259</v>
      </c>
      <c r="L28" s="110">
        <v>80</v>
      </c>
      <c r="M28" s="111"/>
      <c r="N28" s="111"/>
      <c r="O28" s="111"/>
      <c r="P28" s="111"/>
      <c r="Q28" s="111"/>
      <c r="R28" s="111"/>
      <c r="S28" s="111"/>
    </row>
    <row r="29" spans="1:32" ht="27.6" customHeight="1" x14ac:dyDescent="0.25">
      <c r="A29" s="230" t="s">
        <v>262</v>
      </c>
      <c r="B29" s="230"/>
      <c r="C29" s="230"/>
      <c r="D29" s="230"/>
      <c r="E29" s="230"/>
      <c r="F29" s="230"/>
      <c r="G29" s="230"/>
      <c r="H29" s="230"/>
      <c r="I29" s="230"/>
      <c r="J29" s="110"/>
      <c r="K29" s="111"/>
      <c r="L29" s="111"/>
      <c r="M29" s="111"/>
      <c r="N29" s="111"/>
      <c r="O29" s="111"/>
      <c r="P29" s="111"/>
      <c r="Q29" s="111"/>
      <c r="R29" s="111"/>
      <c r="S29" s="111"/>
    </row>
    <row r="30" spans="1:32" ht="27.6" customHeight="1" x14ac:dyDescent="0.25">
      <c r="A30" s="30" t="str">
        <f t="shared" ref="A30:E38" si="14">A16</f>
        <v>Jedrska elektrarna</v>
      </c>
      <c r="B30" s="30" t="str">
        <f t="shared" si="14"/>
        <v>Moč reaktorja (MW)</v>
      </c>
      <c r="C30" s="30" t="str">
        <f t="shared" si="14"/>
        <v>Cena razgradnje 2020-2023 (mio. €)</v>
      </c>
      <c r="D30" s="30" t="str">
        <f t="shared" si="14"/>
        <v>Cena razgradnje 2024 (mio. €)</v>
      </c>
      <c r="E30" s="30" t="str">
        <f t="shared" si="14"/>
        <v>Cena razgradnje 2024 [EUR]</v>
      </c>
      <c r="F30" s="30" t="s">
        <v>263</v>
      </c>
      <c r="G30" s="30" t="s">
        <v>264</v>
      </c>
      <c r="H30" s="30" t="s">
        <v>233</v>
      </c>
      <c r="I30" s="31" t="s">
        <v>234</v>
      </c>
      <c r="J30" s="31" t="s">
        <v>415</v>
      </c>
      <c r="K30" s="111"/>
      <c r="L30" s="111"/>
      <c r="M30" s="111"/>
      <c r="N30" s="111"/>
      <c r="O30" s="111"/>
      <c r="P30" s="111"/>
      <c r="Q30" s="111"/>
      <c r="R30" s="111"/>
      <c r="S30" s="111"/>
    </row>
    <row r="31" spans="1:32" ht="27.6" customHeight="1" x14ac:dyDescent="0.25">
      <c r="A31" s="113" t="str">
        <f t="shared" si="14"/>
        <v>Fessenheim 1,2 (Francija)</v>
      </c>
      <c r="B31" s="113">
        <f t="shared" si="14"/>
        <v>1840</v>
      </c>
      <c r="C31" s="113" t="str">
        <f t="shared" si="14"/>
        <v>808 (2021)</v>
      </c>
      <c r="D31" s="34">
        <f t="shared" si="14"/>
        <v>910.61599999999999</v>
      </c>
      <c r="E31" s="35">
        <f t="shared" si="14"/>
        <v>910616000</v>
      </c>
      <c r="F31" s="35">
        <f t="shared" ref="F31:F39" si="15">FV($L$1,$L$28,,-E31,1)</f>
        <v>1357126145.2916143</v>
      </c>
      <c r="G31" s="35">
        <f>PMT($L$3,$L$28,,-F31,1)</f>
        <v>6057308.6002901914</v>
      </c>
      <c r="H31" s="35" cm="1">
        <f t="array" aca="1" ref="H31" ca="1">SUM(G31*(1+$L$3)^ROW(INDIRECT("1:"&amp;$L$28)))</f>
        <v>1357126145.291611</v>
      </c>
      <c r="I31" s="36">
        <f t="shared" ref="I31:I38" si="16">G31/B31</f>
        <v>3292.0155436359737</v>
      </c>
      <c r="J31" s="97">
        <f>I31/($T$2*$S$2)</f>
        <v>0.41601571344537908</v>
      </c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W31" s="111"/>
      <c r="AB31" s="111"/>
      <c r="AC31" s="111"/>
      <c r="AD31" s="111"/>
      <c r="AE31" s="111"/>
      <c r="AF31" s="111"/>
    </row>
    <row r="32" spans="1:32" ht="27.6" customHeight="1" x14ac:dyDescent="0.25">
      <c r="A32" s="113" t="str">
        <f t="shared" si="14"/>
        <v>Chooz-A (Francija)</v>
      </c>
      <c r="B32" s="113">
        <f t="shared" si="14"/>
        <v>320</v>
      </c>
      <c r="C32" s="113" t="str">
        <f t="shared" si="14"/>
        <v>280 (2021)</v>
      </c>
      <c r="D32" s="37">
        <f t="shared" si="14"/>
        <v>315.56</v>
      </c>
      <c r="E32" s="35">
        <f t="shared" si="14"/>
        <v>315560000</v>
      </c>
      <c r="F32" s="35">
        <f t="shared" si="15"/>
        <v>470291238.46739107</v>
      </c>
      <c r="G32" s="35">
        <f t="shared" ref="G32:G39" si="17">PMT($L$3,$L$28,,-F32,1)</f>
        <v>2099067.3367342232</v>
      </c>
      <c r="H32" s="35" cm="1">
        <f t="array" aca="1" ref="H32" ca="1">SUM(G32*(1+$L$3)^ROW(INDIRECT("1:"&amp;$L$28)))</f>
        <v>470291238.46738958</v>
      </c>
      <c r="I32" s="36">
        <f t="shared" si="16"/>
        <v>6559.5854272944471</v>
      </c>
      <c r="J32" s="97">
        <f t="shared" ref="J32:J36" si="18">I32/($T$2*$S$2)</f>
        <v>0.82894220129586604</v>
      </c>
      <c r="K32" s="214" t="s">
        <v>234</v>
      </c>
      <c r="L32" s="215"/>
      <c r="M32" s="216" t="s">
        <v>415</v>
      </c>
      <c r="N32" s="217"/>
      <c r="O32" s="111"/>
      <c r="P32" s="111"/>
      <c r="Q32" s="111"/>
      <c r="R32" s="111"/>
      <c r="S32" s="111"/>
      <c r="T32" s="111"/>
      <c r="U32" s="111"/>
      <c r="W32" s="111"/>
      <c r="X32" s="111"/>
      <c r="Y32" s="111"/>
      <c r="AB32" s="111"/>
      <c r="AC32" s="111"/>
      <c r="AD32" s="111"/>
      <c r="AE32" s="111"/>
      <c r="AF32" s="111"/>
    </row>
    <row r="33" spans="1:32" ht="27.6" customHeight="1" x14ac:dyDescent="0.25">
      <c r="A33" s="113" t="str">
        <f t="shared" si="14"/>
        <v>Super-Phenix (Francija)</v>
      </c>
      <c r="B33" s="113">
        <f t="shared" si="14"/>
        <v>1242</v>
      </c>
      <c r="C33" s="113" t="str">
        <f t="shared" si="14"/>
        <v>520.5 (2021)</v>
      </c>
      <c r="D33" s="37">
        <f t="shared" si="14"/>
        <v>586.60350000000005</v>
      </c>
      <c r="E33" s="35">
        <f t="shared" si="14"/>
        <v>586603500</v>
      </c>
      <c r="F33" s="35">
        <f t="shared" si="15"/>
        <v>874237820.07956088</v>
      </c>
      <c r="G33" s="35">
        <f t="shared" si="17"/>
        <v>3902016.2456077267</v>
      </c>
      <c r="H33" s="35" cm="1">
        <f t="array" aca="1" ref="H33" ca="1">SUM(G33*(1+$L$3)^ROW(INDIRECT("1:"&amp;$L$28)))</f>
        <v>874237820.07955837</v>
      </c>
      <c r="I33" s="36">
        <f t="shared" si="16"/>
        <v>3141.720004515078</v>
      </c>
      <c r="J33" s="97">
        <f t="shared" si="18"/>
        <v>0.3970226968249353</v>
      </c>
      <c r="K33" s="99" t="s">
        <v>3</v>
      </c>
      <c r="L33" s="43">
        <f ca="1">MIN(I31:I42)</f>
        <v>3141.720004515078</v>
      </c>
      <c r="M33" s="99" t="s">
        <v>3</v>
      </c>
      <c r="N33" s="81">
        <f ca="1">MIN(J31:J42)</f>
        <v>0.3970226968249353</v>
      </c>
      <c r="O33" s="111"/>
      <c r="P33" s="111"/>
      <c r="Q33" s="111"/>
      <c r="R33" s="111"/>
      <c r="S33" s="111"/>
      <c r="T33" s="111"/>
      <c r="U33" s="111"/>
      <c r="W33" s="111"/>
      <c r="X33" s="111"/>
      <c r="Y33" s="111"/>
      <c r="AB33" s="111"/>
      <c r="AC33" s="111"/>
      <c r="AD33" s="111"/>
      <c r="AE33" s="111"/>
      <c r="AF33" s="111"/>
    </row>
    <row r="34" spans="1:32" ht="27.6" customHeight="1" x14ac:dyDescent="0.25">
      <c r="A34" s="113" t="str">
        <f t="shared" si="14"/>
        <v>Obrigheim (Nemčija)</v>
      </c>
      <c r="B34" s="113">
        <f t="shared" si="14"/>
        <v>340</v>
      </c>
      <c r="C34" s="113" t="str">
        <f t="shared" si="14"/>
        <v>630.4 (2020)</v>
      </c>
      <c r="D34" s="37">
        <f t="shared" si="14"/>
        <v>844.73599999999999</v>
      </c>
      <c r="E34" s="35">
        <f t="shared" si="14"/>
        <v>844736000</v>
      </c>
      <c r="F34" s="35">
        <f t="shared" si="15"/>
        <v>1258942640.4423566</v>
      </c>
      <c r="G34" s="35">
        <f t="shared" si="17"/>
        <v>5619082.7283670949</v>
      </c>
      <c r="H34" s="35" cm="1">
        <f t="array" aca="1" ref="H34" ca="1">SUM(G34*(1+$L$3)^ROW(INDIRECT("1:"&amp;$L$28)))</f>
        <v>1258942640.4423528</v>
      </c>
      <c r="I34" s="36">
        <f t="shared" si="16"/>
        <v>16526.713906962043</v>
      </c>
      <c r="J34" s="97">
        <f t="shared" si="18"/>
        <v>2.0884994574839562</v>
      </c>
      <c r="K34" s="99" t="s">
        <v>20</v>
      </c>
      <c r="L34" s="43">
        <f ca="1">AVERAGE(I31:I42)</f>
        <v>9650.0185529593309</v>
      </c>
      <c r="M34" s="99" t="s">
        <v>20</v>
      </c>
      <c r="N34" s="81">
        <f ca="1">AVERAGE(J31:J42)</f>
        <v>1.207871991622002</v>
      </c>
      <c r="O34" s="111"/>
      <c r="P34" s="111"/>
      <c r="Q34" s="111"/>
      <c r="R34" s="111"/>
      <c r="S34" s="111"/>
      <c r="T34" s="111"/>
      <c r="U34" s="111"/>
      <c r="W34" s="111"/>
      <c r="X34" s="111"/>
      <c r="Y34" s="111"/>
      <c r="AB34" s="111"/>
      <c r="AC34" s="111"/>
      <c r="AD34" s="111"/>
      <c r="AE34" s="111"/>
      <c r="AF34" s="111"/>
    </row>
    <row r="35" spans="1:32" ht="27.6" customHeight="1" x14ac:dyDescent="0.25">
      <c r="A35" s="113" t="str">
        <f t="shared" si="14"/>
        <v>Muelheim-Kaerlich (Nemčija)</v>
      </c>
      <c r="B35" s="113">
        <f t="shared" si="14"/>
        <v>1219</v>
      </c>
      <c r="C35" s="113" t="str">
        <f t="shared" si="14"/>
        <v>761.7 (2020)</v>
      </c>
      <c r="D35" s="37">
        <f t="shared" si="14"/>
        <v>1020.6780000000001</v>
      </c>
      <c r="E35" s="35">
        <f t="shared" si="14"/>
        <v>1020678000.0000001</v>
      </c>
      <c r="F35" s="35">
        <f t="shared" si="15"/>
        <v>1521155788.745151</v>
      </c>
      <c r="G35" s="35">
        <f t="shared" si="17"/>
        <v>6789427.84612503</v>
      </c>
      <c r="H35" s="35" cm="1">
        <f t="array" aca="1" ref="H35" ca="1">SUM(G35*(1+$L$3)^ROW(INDIRECT("1:"&amp;$L$28)))</f>
        <v>1521155788.7451472</v>
      </c>
      <c r="I35" s="36">
        <f t="shared" si="16"/>
        <v>5569.6700952625351</v>
      </c>
      <c r="J35" s="97">
        <f t="shared" si="18"/>
        <v>0.70384548542467462</v>
      </c>
      <c r="K35" s="99" t="s">
        <v>5</v>
      </c>
      <c r="L35" s="43">
        <f ca="1">MAX(I31:I42)</f>
        <v>18361.850286224973</v>
      </c>
      <c r="M35" s="99" t="s">
        <v>5</v>
      </c>
      <c r="N35" s="81">
        <f ca="1">MAX(J31:J42)</f>
        <v>2.3204077094253872</v>
      </c>
      <c r="O35" s="111"/>
      <c r="P35" s="111"/>
      <c r="Q35" s="111"/>
      <c r="R35" s="111"/>
      <c r="S35" s="111"/>
      <c r="T35" s="111"/>
      <c r="U35" s="111"/>
      <c r="W35" s="111"/>
      <c r="X35" s="111"/>
      <c r="Y35" s="111"/>
      <c r="AB35" s="111"/>
      <c r="AC35" s="111"/>
      <c r="AD35" s="111"/>
      <c r="AE35" s="111"/>
      <c r="AF35" s="111"/>
    </row>
    <row r="36" spans="1:32" ht="27.6" customHeight="1" x14ac:dyDescent="0.25">
      <c r="A36" s="113" t="str">
        <f t="shared" si="14"/>
        <v>Greifswald 1-5 (Nemčija)</v>
      </c>
      <c r="B36" s="113">
        <f t="shared" si="14"/>
        <v>2040</v>
      </c>
      <c r="C36" s="113" t="str">
        <f t="shared" si="14"/>
        <v>4202.4 (2020)</v>
      </c>
      <c r="D36" s="37">
        <f t="shared" si="14"/>
        <v>5631.2159999999994</v>
      </c>
      <c r="E36" s="35">
        <f t="shared" si="14"/>
        <v>5631215999.999999</v>
      </c>
      <c r="F36" s="35">
        <f t="shared" si="15"/>
        <v>8392418388.6341352</v>
      </c>
      <c r="G36" s="35">
        <f t="shared" si="17"/>
        <v>37458174.583898947</v>
      </c>
      <c r="H36" s="35" cm="1">
        <f t="array" aca="1" ref="H36" ca="1">SUM(G36*(1+$L$3)^ROW(INDIRECT("1:"&amp;$L$28)))</f>
        <v>8392418388.6341152</v>
      </c>
      <c r="I36" s="36">
        <f t="shared" si="16"/>
        <v>18361.850286224973</v>
      </c>
      <c r="J36" s="97">
        <f t="shared" si="18"/>
        <v>2.3204077094253872</v>
      </c>
      <c r="K36" s="100" t="s">
        <v>266</v>
      </c>
      <c r="L36" s="39">
        <f ca="1">$L$33</f>
        <v>3141.720004515078</v>
      </c>
      <c r="M36" s="100" t="s">
        <v>266</v>
      </c>
      <c r="N36" s="101">
        <f ca="1">$N$33</f>
        <v>0.3970226968249353</v>
      </c>
      <c r="O36" s="111"/>
      <c r="P36" s="111"/>
      <c r="Q36" s="111"/>
      <c r="R36" s="111"/>
      <c r="S36" s="111"/>
      <c r="T36" s="111"/>
      <c r="U36" s="111"/>
      <c r="W36" s="111"/>
      <c r="X36" s="111"/>
      <c r="Y36" s="111"/>
      <c r="AB36" s="111"/>
      <c r="AC36" s="111"/>
      <c r="AD36" s="111"/>
      <c r="AE36" s="111"/>
      <c r="AF36" s="111"/>
    </row>
    <row r="37" spans="1:32" ht="27.6" customHeight="1" x14ac:dyDescent="0.25">
      <c r="A37" s="113" t="str">
        <f t="shared" si="14"/>
        <v>Beznau 1, 2 (Švica)</v>
      </c>
      <c r="B37" s="113">
        <f t="shared" si="14"/>
        <v>730</v>
      </c>
      <c r="C37" s="113" t="str">
        <f t="shared" si="14"/>
        <v>887,5 (2020)</v>
      </c>
      <c r="D37" s="37">
        <f t="shared" si="14"/>
        <v>1189.25</v>
      </c>
      <c r="E37" s="37">
        <f t="shared" si="14"/>
        <v>1189250000</v>
      </c>
      <c r="F37" s="35">
        <f t="shared" si="15"/>
        <v>1772385141.8029687</v>
      </c>
      <c r="G37" s="35">
        <f t="shared" si="17"/>
        <v>7910748.6063226527</v>
      </c>
      <c r="H37" s="35" cm="1">
        <f t="array" aca="1" ref="H37" ca="1">SUM(G37*(1+$L$3)^ROW(INDIRECT("1:"&amp;$L$28)))</f>
        <v>1772385141.8029652</v>
      </c>
      <c r="I37" s="36">
        <f t="shared" si="16"/>
        <v>10836.641926469387</v>
      </c>
      <c r="J37" s="97">
        <f>I37/($T$2*$S$2)</f>
        <v>1.3694386501629412</v>
      </c>
      <c r="K37" s="100" t="s">
        <v>267</v>
      </c>
      <c r="L37" s="39">
        <f ca="1">$L$35</f>
        <v>18361.850286224973</v>
      </c>
      <c r="M37" s="100" t="s">
        <v>267</v>
      </c>
      <c r="N37" s="101">
        <f ca="1">$N$35</f>
        <v>2.3204077094253872</v>
      </c>
      <c r="O37" s="111"/>
      <c r="P37" s="111"/>
      <c r="Q37" s="111"/>
      <c r="R37" s="111"/>
      <c r="S37" s="111"/>
      <c r="T37" s="111"/>
      <c r="U37" s="111"/>
      <c r="W37" s="111"/>
      <c r="X37" s="111"/>
      <c r="Y37" s="111"/>
      <c r="AB37" s="111"/>
      <c r="AC37" s="111"/>
      <c r="AD37" s="111"/>
    </row>
    <row r="38" spans="1:32" ht="27.6" customHeight="1" x14ac:dyDescent="0.25">
      <c r="A38" s="113" t="str">
        <f t="shared" si="14"/>
        <v>Gosgen (Švica)</v>
      </c>
      <c r="B38" s="113">
        <f t="shared" si="14"/>
        <v>1010</v>
      </c>
      <c r="C38" s="113" t="str">
        <f t="shared" si="14"/>
        <v>835.2 (2020)</v>
      </c>
      <c r="D38" s="37">
        <f t="shared" si="14"/>
        <v>1119.1680000000001</v>
      </c>
      <c r="E38" s="35">
        <f t="shared" si="14"/>
        <v>1119168000.0000002</v>
      </c>
      <c r="F38" s="35">
        <f t="shared" si="15"/>
        <v>1667939234.2916505</v>
      </c>
      <c r="G38" s="35">
        <f t="shared" si="17"/>
        <v>7444571.5335218934</v>
      </c>
      <c r="H38" s="35" cm="1">
        <f t="array" aca="1" ref="H38" ca="1">SUM(G38*(1+$L$3)^ROW(INDIRECT("1:"&amp;$L$28)))</f>
        <v>1667939234.2916462</v>
      </c>
      <c r="I38" s="36">
        <f t="shared" si="16"/>
        <v>7370.8629044771224</v>
      </c>
      <c r="J38" s="97">
        <f t="shared" ref="J38" si="19">I38/($T$2*$S$2)</f>
        <v>0.93146425017402856</v>
      </c>
      <c r="K38" s="111"/>
      <c r="L38" s="111"/>
      <c r="M38" s="46"/>
      <c r="N38" s="88"/>
      <c r="O38" s="111"/>
      <c r="P38" s="111"/>
      <c r="Q38" s="111"/>
      <c r="R38" s="111"/>
      <c r="S38" s="111"/>
      <c r="T38" s="111"/>
      <c r="U38" s="111"/>
      <c r="W38" s="111"/>
      <c r="X38" s="111"/>
      <c r="Y38" s="111"/>
      <c r="AB38" s="111"/>
      <c r="AC38" s="111"/>
      <c r="AD38" s="111"/>
    </row>
    <row r="39" spans="1:32" ht="27.6" customHeight="1" x14ac:dyDescent="0.25">
      <c r="A39" s="113" t="s">
        <v>255</v>
      </c>
      <c r="B39" s="113">
        <v>696</v>
      </c>
      <c r="C39" s="171" t="str">
        <f t="shared" ref="C39:D39" si="20">C11</f>
        <v>568 (2024)</v>
      </c>
      <c r="D39" s="41">
        <f t="shared" si="20"/>
        <v>568</v>
      </c>
      <c r="E39" s="35">
        <f>D39*1000000</f>
        <v>568000000</v>
      </c>
      <c r="F39" s="35">
        <f t="shared" si="15"/>
        <v>846512306.53276122</v>
      </c>
      <c r="G39" s="35">
        <f t="shared" si="17"/>
        <v>3778267.9910794762</v>
      </c>
      <c r="H39" s="35" cm="1">
        <f t="array" aca="1" ref="H39" ca="1">SUM(G39*(1+$L$3)^ROW(INDIRECT("1:"&amp;$L$28)))</f>
        <v>846512306.53275931</v>
      </c>
      <c r="I39" s="36">
        <f>G39/B39</f>
        <v>5428.54596419465</v>
      </c>
      <c r="J39" s="97">
        <f>I39/($T$2*$R$2)</f>
        <v>0.68855225319566848</v>
      </c>
      <c r="K39" s="111"/>
      <c r="L39" s="111"/>
      <c r="M39" s="111"/>
      <c r="N39" s="88"/>
      <c r="O39" s="111"/>
      <c r="P39" s="111"/>
      <c r="Q39" s="111"/>
      <c r="R39" s="111"/>
      <c r="S39" s="111"/>
      <c r="T39" s="111"/>
      <c r="U39" s="111"/>
      <c r="W39" s="111"/>
    </row>
    <row r="40" spans="1:32" ht="27.6" customHeight="1" x14ac:dyDescent="0.25">
      <c r="A40" s="113" t="s">
        <v>256</v>
      </c>
      <c r="B40" s="113">
        <f>1250</f>
        <v>1250</v>
      </c>
      <c r="C40" s="113" t="s">
        <v>435</v>
      </c>
      <c r="D40" s="41">
        <f>3227*$C$69</f>
        <v>2185.4138613861387</v>
      </c>
      <c r="E40" s="35">
        <f>D40*1000000</f>
        <v>2185413861.3861389</v>
      </c>
      <c r="F40" s="35">
        <f>FV($R$3,$L$28,,-E40,1)</f>
        <v>2185413861.3861389</v>
      </c>
      <c r="G40" s="35">
        <f>PMT($R$4,$L$28,,-F40,1)</f>
        <v>14099306.43464558</v>
      </c>
      <c r="H40" s="35" cm="1">
        <f t="array" aca="1" ref="H40" ca="1">SUM(G40*(1+$R$4)^ROW(INDIRECT("1:"&amp;$L$28)))</f>
        <v>2185413861.3861251</v>
      </c>
      <c r="I40" s="36">
        <f>G40/B40</f>
        <v>11279.445147716464</v>
      </c>
      <c r="J40" s="97">
        <f>2*$C$69</f>
        <v>1.3544554455445545</v>
      </c>
      <c r="K40" s="46"/>
      <c r="L40" s="111"/>
      <c r="M40" s="111"/>
      <c r="N40" s="88"/>
      <c r="O40" s="111"/>
      <c r="P40" s="111"/>
      <c r="Q40" s="111"/>
      <c r="R40" s="111"/>
      <c r="S40" s="111"/>
      <c r="T40" s="42"/>
      <c r="U40" s="42"/>
      <c r="V40" s="42"/>
      <c r="W40" s="42"/>
    </row>
    <row r="41" spans="1:32" ht="27.6" customHeight="1" x14ac:dyDescent="0.25">
      <c r="A41" s="113" t="s">
        <v>256</v>
      </c>
      <c r="B41" s="113">
        <f>1250</f>
        <v>1250</v>
      </c>
      <c r="C41" s="113" t="s">
        <v>435</v>
      </c>
      <c r="D41" s="41">
        <f>3227*$C$69</f>
        <v>2185.4138613861387</v>
      </c>
      <c r="E41" s="35">
        <f>D41*1000000</f>
        <v>2185413861.3861389</v>
      </c>
      <c r="F41" s="35">
        <f>FV($R$3,$L$28,,-E41,1)</f>
        <v>2185413861.3861389</v>
      </c>
      <c r="G41" s="35">
        <f>PMT($R$4,$L$28,,-F41,1)</f>
        <v>14099306.43464558</v>
      </c>
      <c r="H41" s="35" cm="1">
        <f t="array" aca="1" ref="H41" ca="1">SUM(G41*(1+$R$4)^ROW(INDIRECT("1:"&amp;$L$28)))</f>
        <v>2185413861.3861251</v>
      </c>
      <c r="I41" s="36">
        <f>G41/B41</f>
        <v>11279.445147716464</v>
      </c>
      <c r="J41" s="97">
        <f>2*$C$69</f>
        <v>1.3544554455445545</v>
      </c>
      <c r="K41" s="110" t="s">
        <v>259</v>
      </c>
      <c r="L41" s="110">
        <v>100</v>
      </c>
      <c r="M41" s="111"/>
      <c r="N41" s="111"/>
      <c r="O41" s="111"/>
      <c r="P41" s="111"/>
      <c r="Q41" s="111"/>
      <c r="R41" s="111"/>
      <c r="S41" s="111"/>
      <c r="T41" s="42"/>
      <c r="U41" s="42"/>
      <c r="V41" s="42"/>
      <c r="W41" s="42"/>
    </row>
    <row r="42" spans="1:32" ht="27.6" customHeight="1" x14ac:dyDescent="0.25">
      <c r="A42" s="113" t="str">
        <f>A28</f>
        <v>Čehi</v>
      </c>
      <c r="B42" s="113"/>
      <c r="C42" s="113"/>
      <c r="D42" s="37"/>
      <c r="E42" s="35"/>
      <c r="F42" s="35"/>
      <c r="G42" s="35"/>
      <c r="H42" s="35"/>
      <c r="I42" s="36">
        <f ca="1">$E$81</f>
        <v>16153.726281042838</v>
      </c>
      <c r="J42" s="97">
        <f t="shared" ref="J42" ca="1" si="21">I42/($T$2*$S$2)</f>
        <v>2.0413645909420763</v>
      </c>
      <c r="K42" s="111"/>
      <c r="L42" s="111"/>
      <c r="M42" s="111"/>
      <c r="N42" s="111"/>
      <c r="O42" s="111"/>
      <c r="P42" s="111"/>
      <c r="Q42" s="111"/>
      <c r="R42" s="111"/>
      <c r="S42" s="111"/>
      <c r="T42" s="42"/>
      <c r="U42" s="42"/>
      <c r="V42" s="42"/>
      <c r="W42" s="42"/>
    </row>
    <row r="43" spans="1:32" ht="27.6" customHeight="1" x14ac:dyDescent="0.25">
      <c r="A43" s="230" t="s">
        <v>416</v>
      </c>
      <c r="B43" s="230"/>
      <c r="C43" s="230"/>
      <c r="D43" s="230"/>
      <c r="E43" s="230"/>
      <c r="F43" s="230"/>
      <c r="G43" s="230"/>
      <c r="H43" s="230"/>
      <c r="I43" s="230"/>
      <c r="J43" s="110"/>
      <c r="K43" s="111"/>
      <c r="L43" s="111"/>
      <c r="M43" s="111"/>
      <c r="N43" s="111"/>
      <c r="O43" s="111"/>
      <c r="P43" s="111"/>
      <c r="Q43" s="111"/>
      <c r="R43" s="111"/>
      <c r="S43" s="111"/>
      <c r="T43" s="42"/>
      <c r="U43" s="42"/>
      <c r="V43" s="42"/>
      <c r="W43" s="42"/>
    </row>
    <row r="44" spans="1:32" ht="27.6" customHeight="1" x14ac:dyDescent="0.25">
      <c r="A44" s="30" t="str">
        <f t="shared" ref="A44:E52" si="22">A30</f>
        <v>Jedrska elektrarna</v>
      </c>
      <c r="B44" s="30" t="str">
        <f t="shared" si="22"/>
        <v>Moč reaktorja (MW)</v>
      </c>
      <c r="C44" s="30" t="str">
        <f t="shared" si="22"/>
        <v>Cena razgradnje 2020-2023 (mio. €)</v>
      </c>
      <c r="D44" s="30" t="str">
        <f t="shared" si="22"/>
        <v>Cena razgradnje 2024 (mio. €)</v>
      </c>
      <c r="E44" s="30" t="str">
        <f t="shared" si="22"/>
        <v>Cena razgradnje 2024 [EUR]</v>
      </c>
      <c r="F44" s="30" t="s">
        <v>417</v>
      </c>
      <c r="G44" s="30" t="s">
        <v>418</v>
      </c>
      <c r="H44" s="30" t="s">
        <v>233</v>
      </c>
      <c r="I44" s="31" t="s">
        <v>234</v>
      </c>
      <c r="J44" s="31" t="s">
        <v>415</v>
      </c>
      <c r="K44" s="111"/>
      <c r="L44" s="111"/>
      <c r="M44" s="111"/>
      <c r="N44" s="111"/>
      <c r="O44" s="111"/>
      <c r="P44" s="111"/>
      <c r="Q44" s="111"/>
      <c r="R44" s="111"/>
      <c r="S44" s="111"/>
      <c r="T44" s="42"/>
      <c r="U44" s="42"/>
      <c r="V44" s="42"/>
      <c r="W44" s="42"/>
    </row>
    <row r="45" spans="1:32" ht="27.6" customHeight="1" x14ac:dyDescent="0.25">
      <c r="A45" s="113" t="str">
        <f t="shared" si="22"/>
        <v>Fessenheim 1,2 (Francija)</v>
      </c>
      <c r="B45" s="113">
        <f t="shared" si="22"/>
        <v>1840</v>
      </c>
      <c r="C45" s="113" t="str">
        <f t="shared" si="22"/>
        <v>808 (2021)</v>
      </c>
      <c r="D45" s="34">
        <f t="shared" si="22"/>
        <v>910.61599999999999</v>
      </c>
      <c r="E45" s="35">
        <f t="shared" si="22"/>
        <v>910616000</v>
      </c>
      <c r="F45" s="35">
        <f>FV($L$1,$L41,,-E45,1)</f>
        <v>1499482675.6171765</v>
      </c>
      <c r="G45" s="35">
        <f t="shared" ref="G45:G53" si="23">PMT($L$3,$L$41,,-F45,1)</f>
        <v>3997548.6090728333</v>
      </c>
      <c r="H45" s="35" cm="1">
        <f t="array" aca="1" ref="H45" ca="1">SUM(G45*(1+$L$3)^ROW(INDIRECT("1:"&amp;$L$41)))</f>
        <v>1499482675.6171696</v>
      </c>
      <c r="I45" s="36">
        <f t="shared" ref="I45:I52" si="24">G45/B45</f>
        <v>2172.5807658004528</v>
      </c>
      <c r="J45" s="97">
        <f>I45/($T$2*$S$2)</f>
        <v>0.27455147927519247</v>
      </c>
      <c r="K45" s="214" t="s">
        <v>234</v>
      </c>
      <c r="L45" s="215"/>
      <c r="M45" s="216" t="s">
        <v>415</v>
      </c>
      <c r="N45" s="217"/>
      <c r="O45" s="111"/>
      <c r="P45" s="111"/>
      <c r="Q45" s="111"/>
      <c r="R45" s="111"/>
      <c r="S45" s="111"/>
      <c r="T45" s="42"/>
      <c r="U45" s="42"/>
      <c r="V45" s="42"/>
      <c r="W45" s="42"/>
    </row>
    <row r="46" spans="1:32" ht="27.6" customHeight="1" x14ac:dyDescent="0.25">
      <c r="A46" s="113" t="str">
        <f t="shared" si="22"/>
        <v>Chooz-A (Francija)</v>
      </c>
      <c r="B46" s="113">
        <f t="shared" si="22"/>
        <v>320</v>
      </c>
      <c r="C46" s="113" t="str">
        <f t="shared" si="22"/>
        <v>280 (2021)</v>
      </c>
      <c r="D46" s="37">
        <f t="shared" si="22"/>
        <v>315.56</v>
      </c>
      <c r="E46" s="35">
        <f t="shared" si="22"/>
        <v>315560000</v>
      </c>
      <c r="F46" s="35">
        <f t="shared" ref="F46:F53" si="25">FV($L$1,$L$41,,-E46,1)</f>
        <v>519622709.37228888</v>
      </c>
      <c r="G46" s="35">
        <f t="shared" si="23"/>
        <v>1385289.1219559321</v>
      </c>
      <c r="H46" s="35" cm="1">
        <f t="array" aca="1" ref="H46" ca="1">SUM(G46*(1+$L$3)^ROW(INDIRECT("1:"&amp;$L$41)))</f>
        <v>519622709.37228614</v>
      </c>
      <c r="I46" s="36">
        <f t="shared" si="24"/>
        <v>4329.0285061122877</v>
      </c>
      <c r="J46" s="97">
        <f t="shared" ref="J46:J52" si="26">I46/($T$2*$S$2)</f>
        <v>0.54706420994190563</v>
      </c>
      <c r="K46" s="99" t="s">
        <v>3</v>
      </c>
      <c r="L46" s="43">
        <f ca="1">MIN(I45:I56)</f>
        <v>2073.3925350185855</v>
      </c>
      <c r="M46" s="99" t="s">
        <v>3</v>
      </c>
      <c r="N46" s="81">
        <f ca="1">MIN(J45:J56)</f>
        <v>0.2620169507934319</v>
      </c>
      <c r="T46" s="42"/>
      <c r="U46" s="42"/>
      <c r="V46" s="42"/>
      <c r="W46" s="42"/>
    </row>
    <row r="47" spans="1:32" ht="27.6" customHeight="1" x14ac:dyDescent="0.25">
      <c r="A47" s="113" t="str">
        <f t="shared" si="22"/>
        <v>Super-Phenix (Francija)</v>
      </c>
      <c r="B47" s="113">
        <f t="shared" si="22"/>
        <v>1242</v>
      </c>
      <c r="C47" s="113" t="str">
        <f t="shared" si="22"/>
        <v>520.5 (2021)</v>
      </c>
      <c r="D47" s="37">
        <f t="shared" si="22"/>
        <v>586.60350000000005</v>
      </c>
      <c r="E47" s="35">
        <f t="shared" si="22"/>
        <v>586603500</v>
      </c>
      <c r="F47" s="35">
        <f t="shared" si="25"/>
        <v>965941500.81527281</v>
      </c>
      <c r="G47" s="35">
        <f t="shared" si="23"/>
        <v>2575153.5284930831</v>
      </c>
      <c r="H47" s="35" cm="1">
        <f t="array" aca="1" ref="H47" ca="1">SUM(G47*(1+$L$3)^ROW(INDIRECT("1:"&amp;$L$41)))</f>
        <v>965941500.81526887</v>
      </c>
      <c r="I47" s="36">
        <f t="shared" si="24"/>
        <v>2073.3925350185855</v>
      </c>
      <c r="J47" s="97">
        <f t="shared" si="26"/>
        <v>0.2620169507934319</v>
      </c>
      <c r="K47" s="99" t="s">
        <v>20</v>
      </c>
      <c r="L47" s="43">
        <f ca="1">AVERAGE(I45:I56)</f>
        <v>6382.6339903236667</v>
      </c>
      <c r="M47" s="99" t="s">
        <v>20</v>
      </c>
      <c r="N47" s="81">
        <f ca="1">AVERAGE(J45:J56)</f>
        <v>0.80217387143675589</v>
      </c>
      <c r="T47" s="42"/>
      <c r="U47" s="42"/>
      <c r="V47" s="42"/>
      <c r="W47" s="42"/>
    </row>
    <row r="48" spans="1:32" ht="27.6" customHeight="1" x14ac:dyDescent="0.25">
      <c r="A48" s="113" t="str">
        <f t="shared" si="22"/>
        <v>Obrigheim (Nemčija)</v>
      </c>
      <c r="B48" s="113">
        <f t="shared" si="22"/>
        <v>340</v>
      </c>
      <c r="C48" s="113" t="str">
        <f t="shared" si="22"/>
        <v>630.4 (2020)</v>
      </c>
      <c r="D48" s="37">
        <f t="shared" si="22"/>
        <v>844.73599999999999</v>
      </c>
      <c r="E48" s="35">
        <f t="shared" si="22"/>
        <v>844736000</v>
      </c>
      <c r="F48" s="35">
        <f t="shared" si="25"/>
        <v>1391000155.3565402</v>
      </c>
      <c r="G48" s="35">
        <f t="shared" si="23"/>
        <v>3708339.4337830129</v>
      </c>
      <c r="H48" s="35" cm="1">
        <f t="array" aca="1" ref="H48" ca="1">SUM(G48*(1+$L$3)^ROW(INDIRECT("1:"&amp;$L$41)))</f>
        <v>1391000155.3565352</v>
      </c>
      <c r="I48" s="36">
        <f t="shared" si="24"/>
        <v>10906.880687597097</v>
      </c>
      <c r="J48" s="97">
        <f t="shared" si="26"/>
        <v>1.3783148015464157</v>
      </c>
      <c r="K48" s="99" t="s">
        <v>5</v>
      </c>
      <c r="L48" s="43">
        <f ca="1">MAX(I45:I56)</f>
        <v>12117.98736293306</v>
      </c>
      <c r="M48" s="99" t="s">
        <v>5</v>
      </c>
      <c r="N48" s="81">
        <f ca="1">MAX(J45:J56)</f>
        <v>1.5313637166927487</v>
      </c>
      <c r="T48" s="42"/>
      <c r="U48" s="42"/>
      <c r="V48" s="42"/>
      <c r="W48" s="42"/>
    </row>
    <row r="49" spans="1:23" ht="27.6" customHeight="1" x14ac:dyDescent="0.25">
      <c r="A49" s="113" t="str">
        <f t="shared" si="22"/>
        <v>Muelheim-Kaerlich (Nemčija)</v>
      </c>
      <c r="B49" s="113">
        <f t="shared" si="22"/>
        <v>1219</v>
      </c>
      <c r="C49" s="113" t="str">
        <f t="shared" si="22"/>
        <v>761.7 (2020)</v>
      </c>
      <c r="D49" s="37">
        <f t="shared" si="22"/>
        <v>1020.6780000000001</v>
      </c>
      <c r="E49" s="35">
        <f t="shared" si="22"/>
        <v>1020678000.0000001</v>
      </c>
      <c r="F49" s="35">
        <f t="shared" si="25"/>
        <v>1680718303.1965051</v>
      </c>
      <c r="G49" s="35">
        <f t="shared" si="23"/>
        <v>4480714.0652165599</v>
      </c>
      <c r="H49" s="35" cm="1">
        <f t="array" aca="1" ref="H49" ca="1">SUM(G49*(1+$L$3)^ROW(INDIRECT("1:"&amp;$L$41)))</f>
        <v>1680718303.1964974</v>
      </c>
      <c r="I49" s="36">
        <f t="shared" si="24"/>
        <v>3675.7293398002953</v>
      </c>
      <c r="J49" s="97">
        <f t="shared" si="26"/>
        <v>0.46450605820657831</v>
      </c>
      <c r="K49" s="100" t="s">
        <v>266</v>
      </c>
      <c r="L49" s="39">
        <f ca="1">$L$46</f>
        <v>2073.3925350185855</v>
      </c>
      <c r="M49" s="100" t="s">
        <v>266</v>
      </c>
      <c r="N49" s="101">
        <f ca="1">$N$46</f>
        <v>0.2620169507934319</v>
      </c>
      <c r="T49" s="42"/>
      <c r="U49" s="42"/>
      <c r="V49" s="42"/>
      <c r="W49" s="42"/>
    </row>
    <row r="50" spans="1:23" ht="27.6" customHeight="1" x14ac:dyDescent="0.25">
      <c r="A50" s="113" t="str">
        <f t="shared" si="22"/>
        <v>Greifswald 1-5 (Nemčija)</v>
      </c>
      <c r="B50" s="113">
        <f t="shared" si="22"/>
        <v>2040</v>
      </c>
      <c r="C50" s="113" t="str">
        <f t="shared" si="22"/>
        <v>4202.4 (2020)</v>
      </c>
      <c r="D50" s="37">
        <f t="shared" si="22"/>
        <v>5631.2159999999994</v>
      </c>
      <c r="E50" s="35">
        <f t="shared" si="22"/>
        <v>5631215999.999999</v>
      </c>
      <c r="F50" s="35">
        <f t="shared" si="25"/>
        <v>9272745959.5024166</v>
      </c>
      <c r="G50" s="35">
        <f t="shared" si="23"/>
        <v>24720694.220383443</v>
      </c>
      <c r="H50" s="35" cm="1">
        <f t="array" aca="1" ref="H50" ca="1">SUM(G50*(1+$L$3)^ROW(INDIRECT("1:"&amp;$L$41)))</f>
        <v>9272745959.5023746</v>
      </c>
      <c r="I50" s="36">
        <f t="shared" si="24"/>
        <v>12117.98736293306</v>
      </c>
      <c r="J50" s="97">
        <f t="shared" si="26"/>
        <v>1.5313637166927487</v>
      </c>
      <c r="K50" s="100" t="s">
        <v>267</v>
      </c>
      <c r="L50" s="39">
        <f ca="1">$L$48</f>
        <v>12117.98736293306</v>
      </c>
      <c r="M50" s="100" t="s">
        <v>267</v>
      </c>
      <c r="N50" s="101">
        <f ca="1">$N$48</f>
        <v>1.5313637166927487</v>
      </c>
      <c r="T50" s="42"/>
      <c r="U50" s="42"/>
      <c r="V50" s="42"/>
      <c r="W50" s="42"/>
    </row>
    <row r="51" spans="1:23" ht="27.6" customHeight="1" x14ac:dyDescent="0.25">
      <c r="A51" s="113" t="str">
        <f t="shared" si="22"/>
        <v>Beznau 1, 2 (Švica)</v>
      </c>
      <c r="B51" s="113">
        <f t="shared" si="22"/>
        <v>730</v>
      </c>
      <c r="C51" s="113" t="str">
        <f t="shared" si="22"/>
        <v>887,5 (2020)</v>
      </c>
      <c r="D51" s="113">
        <f t="shared" si="22"/>
        <v>1189.25</v>
      </c>
      <c r="E51" s="113">
        <f t="shared" si="22"/>
        <v>1189250000</v>
      </c>
      <c r="F51" s="35">
        <f t="shared" si="25"/>
        <v>1958300504.2495708</v>
      </c>
      <c r="G51" s="35">
        <f t="shared" si="23"/>
        <v>5220734.8468947001</v>
      </c>
      <c r="H51" s="35" cm="1">
        <f t="array" aca="1" ref="H51" ca="1">SUM(G51*(1+$L$3)^ROW(INDIRECT("1:"&amp;$L$41)))</f>
        <v>1958300504.2495606</v>
      </c>
      <c r="I51" s="36">
        <f t="shared" si="24"/>
        <v>7151.6915710886306</v>
      </c>
      <c r="J51" s="97">
        <f t="shared" si="26"/>
        <v>0.90376732182791164</v>
      </c>
      <c r="T51" s="42"/>
      <c r="U51" s="42"/>
      <c r="V51" s="42"/>
      <c r="W51" s="42"/>
    </row>
    <row r="52" spans="1:23" ht="27.6" customHeight="1" x14ac:dyDescent="0.25">
      <c r="A52" s="113" t="str">
        <f t="shared" si="22"/>
        <v>Gosgen (Švica)</v>
      </c>
      <c r="B52" s="113">
        <f t="shared" si="22"/>
        <v>1010</v>
      </c>
      <c r="C52" s="113" t="str">
        <f t="shared" si="22"/>
        <v>835.2 (2020)</v>
      </c>
      <c r="D52" s="37">
        <f t="shared" si="22"/>
        <v>1119.1680000000001</v>
      </c>
      <c r="E52" s="35">
        <f t="shared" si="22"/>
        <v>1119168000.0000002</v>
      </c>
      <c r="F52" s="35">
        <f t="shared" si="25"/>
        <v>1842898682.9850614</v>
      </c>
      <c r="G52" s="35">
        <f t="shared" si="23"/>
        <v>4913079.1483115023</v>
      </c>
      <c r="H52" s="35" cm="1">
        <f t="array" aca="1" ref="H52" ca="1">SUM(G52*(1+$L$3)^ROW(INDIRECT("1:"&amp;$L$41)))</f>
        <v>1842898682.9850533</v>
      </c>
      <c r="I52" s="36">
        <f t="shared" si="24"/>
        <v>4864.4348003084178</v>
      </c>
      <c r="J52" s="97">
        <f t="shared" si="26"/>
        <v>0.61472410659510923</v>
      </c>
      <c r="K52" s="111"/>
      <c r="L52" s="111"/>
      <c r="T52" s="42"/>
      <c r="U52" s="42"/>
      <c r="V52" s="42"/>
      <c r="W52" s="42"/>
    </row>
    <row r="53" spans="1:23" ht="24" customHeight="1" x14ac:dyDescent="0.25">
      <c r="A53" s="113" t="s">
        <v>255</v>
      </c>
      <c r="B53" s="113">
        <v>696</v>
      </c>
      <c r="C53" s="171" t="str">
        <f t="shared" ref="C53:D53" si="27">C11</f>
        <v>568 (2024)</v>
      </c>
      <c r="D53" s="41">
        <f t="shared" si="27"/>
        <v>568</v>
      </c>
      <c r="E53" s="35">
        <f>D53*1000000</f>
        <v>568000000</v>
      </c>
      <c r="F53" s="35">
        <f t="shared" si="25"/>
        <v>935307703.52218306</v>
      </c>
      <c r="G53" s="35">
        <f t="shared" si="23"/>
        <v>2493485.3000094127</v>
      </c>
      <c r="H53" s="35" cm="1">
        <f t="array" aca="1" ref="H53" ca="1">SUM(G53*(1+$L$3)^ROW(INDIRECT("1:"&amp;$L$41)))</f>
        <v>935307703.52217948</v>
      </c>
      <c r="I53" s="36">
        <f>G53/B53</f>
        <v>3582.5938218526044</v>
      </c>
      <c r="J53" s="97">
        <f>I53/($T$2*$R$2)</f>
        <v>0.45441321941306501</v>
      </c>
      <c r="K53" s="111"/>
      <c r="L53" s="111"/>
      <c r="M53" s="111"/>
      <c r="T53" s="42"/>
      <c r="U53" s="42"/>
      <c r="V53" s="42"/>
      <c r="W53" s="42"/>
    </row>
    <row r="54" spans="1:23" ht="24" customHeight="1" x14ac:dyDescent="0.25">
      <c r="A54" s="113" t="s">
        <v>256</v>
      </c>
      <c r="B54" s="113">
        <f>1250</f>
        <v>1250</v>
      </c>
      <c r="C54" s="113" t="s">
        <v>435</v>
      </c>
      <c r="D54" s="41">
        <f>3227*$C$69</f>
        <v>2185.4138613861387</v>
      </c>
      <c r="E54" s="35">
        <f>D54*1000000</f>
        <v>2185413861.3861389</v>
      </c>
      <c r="F54" s="35">
        <f>FV($R$3,$L$41,,-E54,1)</f>
        <v>2185413861.3861389</v>
      </c>
      <c r="G54" s="35">
        <f>PMT($R$4,$L$41,,-F54,1)</f>
        <v>9410351.6882640533</v>
      </c>
      <c r="H54" s="35" cm="1">
        <f t="array" aca="1" ref="H54" ca="1">SUM(G54*(1+$R$4)^ROW(INDIRECT("1:"&amp;$L$41)))</f>
        <v>2185413861.3861203</v>
      </c>
      <c r="I54" s="36">
        <f>G54/B54</f>
        <v>7528.2813506112425</v>
      </c>
      <c r="J54" s="97">
        <f>I54/($T$2*$Q$2)</f>
        <v>0.92407833144440055</v>
      </c>
    </row>
    <row r="55" spans="1:23" ht="24" customHeight="1" x14ac:dyDescent="0.25">
      <c r="A55" s="113" t="s">
        <v>256</v>
      </c>
      <c r="B55" s="113">
        <f>1250</f>
        <v>1250</v>
      </c>
      <c r="C55" s="113" t="s">
        <v>435</v>
      </c>
      <c r="D55" s="41">
        <f>3227*$C$69</f>
        <v>2185.4138613861387</v>
      </c>
      <c r="E55" s="35">
        <f>D55*1000000</f>
        <v>2185413861.3861389</v>
      </c>
      <c r="F55" s="35">
        <f>FV($R$3,$L$41,,-E55,1)</f>
        <v>2185413861.3861389</v>
      </c>
      <c r="G55" s="35">
        <f>PMT($R$4,$L$41,,-F55,1)</f>
        <v>9410351.6882640533</v>
      </c>
      <c r="H55" s="35" cm="1">
        <f t="array" aca="1" ref="H55" ca="1">SUM(G55*(1+$R$4)^ROW(INDIRECT("1:"&amp;$L$41)))</f>
        <v>2185413861.3861203</v>
      </c>
      <c r="I55" s="36">
        <f>G55/B55</f>
        <v>7528.2813506112425</v>
      </c>
      <c r="J55" s="97">
        <f>I55/($T$2*$Q$2)</f>
        <v>0.92407833144440055</v>
      </c>
    </row>
    <row r="56" spans="1:23" x14ac:dyDescent="0.25">
      <c r="A56" s="113" t="str">
        <f>A42</f>
        <v>Čehi</v>
      </c>
      <c r="B56" s="113"/>
      <c r="C56" s="113"/>
      <c r="D56" s="37"/>
      <c r="E56" s="35"/>
      <c r="F56" s="35"/>
      <c r="G56" s="35"/>
      <c r="H56" s="35"/>
      <c r="I56" s="36">
        <f ca="1">$F$81</f>
        <v>10660.725792150082</v>
      </c>
      <c r="J56" s="97">
        <f t="shared" ref="J56" ca="1" si="28">I56/($T$2*$S$2)</f>
        <v>1.3472079300599102</v>
      </c>
    </row>
    <row r="64" spans="1:23" x14ac:dyDescent="0.25">
      <c r="A64" s="227" t="s">
        <v>382</v>
      </c>
      <c r="B64" s="228"/>
      <c r="C64" s="228"/>
      <c r="D64" s="229"/>
      <c r="E64" s="111"/>
      <c r="F64" s="111"/>
      <c r="G64" s="111"/>
      <c r="H64" s="111"/>
    </row>
    <row r="65" spans="1:9" x14ac:dyDescent="0.25">
      <c r="A65" s="79"/>
      <c r="B65" s="79">
        <v>1000</v>
      </c>
      <c r="C65" s="79">
        <v>1250</v>
      </c>
      <c r="D65" s="79">
        <v>1650</v>
      </c>
      <c r="E65" s="111"/>
      <c r="F65" s="111"/>
      <c r="G65" s="111"/>
      <c r="H65" s="111"/>
    </row>
    <row r="66" spans="1:9" x14ac:dyDescent="0.25">
      <c r="A66" s="79" t="s">
        <v>376</v>
      </c>
      <c r="B66" s="80">
        <f>306+147</f>
        <v>453</v>
      </c>
      <c r="C66" s="80">
        <f>317+172</f>
        <v>489</v>
      </c>
      <c r="D66" s="80">
        <f>394+198</f>
        <v>592</v>
      </c>
      <c r="E66" s="111"/>
      <c r="F66" s="111"/>
      <c r="G66" s="111"/>
      <c r="H66" s="111"/>
    </row>
    <row r="67" spans="1:9" x14ac:dyDescent="0.25">
      <c r="A67" s="79" t="s">
        <v>375</v>
      </c>
      <c r="B67" s="80">
        <v>820</v>
      </c>
      <c r="C67" s="80">
        <v>1026</v>
      </c>
      <c r="D67" s="80">
        <v>1354</v>
      </c>
      <c r="E67" s="111"/>
      <c r="F67" s="111"/>
      <c r="G67" s="111"/>
      <c r="H67" s="111"/>
    </row>
    <row r="68" spans="1:9" x14ac:dyDescent="0.25">
      <c r="A68" s="79" t="s">
        <v>378</v>
      </c>
      <c r="B68" s="184">
        <f>B66/SUM(B66:B67)</f>
        <v>0.35585231736056561</v>
      </c>
      <c r="C68" s="184">
        <f>C66/SUM(C66:C67)</f>
        <v>0.32277227722772278</v>
      </c>
      <c r="D68" s="184">
        <f>D66/SUM(D66:D67)</f>
        <v>0.30421377183967113</v>
      </c>
      <c r="E68" s="111"/>
      <c r="F68" s="111"/>
      <c r="G68" s="111"/>
      <c r="H68" s="111"/>
    </row>
    <row r="69" spans="1:9" x14ac:dyDescent="0.25">
      <c r="A69" s="79" t="s">
        <v>379</v>
      </c>
      <c r="B69" s="184">
        <f>B67/SUM(B66:B67)</f>
        <v>0.64414768263943445</v>
      </c>
      <c r="C69" s="184">
        <f>C67/SUM(C66:C67)</f>
        <v>0.67722772277227727</v>
      </c>
      <c r="D69" s="184">
        <f>D67/SUM(D66:D67)</f>
        <v>0.69578622816032887</v>
      </c>
      <c r="E69" s="111"/>
      <c r="F69" s="111"/>
      <c r="G69" s="111"/>
      <c r="H69" s="111"/>
    </row>
    <row r="70" spans="1:9" x14ac:dyDescent="0.25">
      <c r="A70" s="79" t="s">
        <v>377</v>
      </c>
      <c r="B70" s="81">
        <f>2581*1000000</f>
        <v>2581000000</v>
      </c>
      <c r="C70" s="81">
        <f>3227*1000000</f>
        <v>3227000000</v>
      </c>
      <c r="D70" s="81">
        <f>4259*1000000</f>
        <v>4259000000</v>
      </c>
      <c r="E70" s="111"/>
      <c r="F70" s="111"/>
      <c r="G70" s="111"/>
      <c r="H70" s="111"/>
    </row>
    <row r="71" spans="1:9" x14ac:dyDescent="0.25">
      <c r="A71" s="79" t="s">
        <v>380</v>
      </c>
      <c r="B71" s="82">
        <f>PMT(0.015,80,,-B70,1)</f>
        <v>16651450.12155227</v>
      </c>
      <c r="C71" s="82">
        <f>PMT(0.015,80,,-C70,1)</f>
        <v>20819151.314315841</v>
      </c>
      <c r="D71" s="82">
        <f>PMT(0.015,80,,-D70,1)</f>
        <v>27477150.743003149</v>
      </c>
      <c r="E71" s="111"/>
      <c r="F71" s="111"/>
      <c r="G71" s="111"/>
      <c r="H71" s="111"/>
    </row>
    <row r="72" spans="1:9" ht="30" x14ac:dyDescent="0.25">
      <c r="A72" s="79" t="s">
        <v>381</v>
      </c>
      <c r="B72" s="82">
        <f>B71/B65</f>
        <v>16651.450121552269</v>
      </c>
      <c r="C72" s="82">
        <f>C71/C65</f>
        <v>16655.321051452673</v>
      </c>
      <c r="D72" s="82">
        <f>D71/D65</f>
        <v>16652.818632123119</v>
      </c>
      <c r="E72" s="84" t="s">
        <v>383</v>
      </c>
      <c r="F72" s="111"/>
      <c r="G72" s="111"/>
      <c r="H72" s="111"/>
    </row>
    <row r="73" spans="1:9" x14ac:dyDescent="0.25">
      <c r="A73" s="83" t="s">
        <v>376</v>
      </c>
      <c r="B73" s="82">
        <f>B72*B68</f>
        <v>5925.4571131682469</v>
      </c>
      <c r="C73" s="82">
        <f>C72*C68</f>
        <v>5375.8759037362097</v>
      </c>
      <c r="D73" s="82">
        <f>D72*D68</f>
        <v>5066.0167678401267</v>
      </c>
      <c r="E73" s="85">
        <f>AVERAGE(B73:D73)</f>
        <v>5455.7832615815278</v>
      </c>
      <c r="F73" s="111"/>
      <c r="G73" s="111"/>
      <c r="H73" s="111"/>
    </row>
    <row r="74" spans="1:9" x14ac:dyDescent="0.25">
      <c r="A74" s="83" t="s">
        <v>375</v>
      </c>
      <c r="B74" s="82">
        <f>B72*B69</f>
        <v>10725.993008384023</v>
      </c>
      <c r="C74" s="82">
        <f>C72*C69</f>
        <v>11279.445147716464</v>
      </c>
      <c r="D74" s="82">
        <f>D72*D69</f>
        <v>11586.801864282992</v>
      </c>
      <c r="E74" s="85">
        <f>AVERAGE(B74:D74)</f>
        <v>11197.413340127825</v>
      </c>
      <c r="F74" s="111"/>
      <c r="G74" s="111"/>
      <c r="H74" s="111"/>
    </row>
    <row r="75" spans="1:9" x14ac:dyDescent="0.25">
      <c r="A75" s="111"/>
      <c r="B75" s="111"/>
      <c r="C75" s="111"/>
      <c r="D75" s="111"/>
      <c r="E75" s="111"/>
      <c r="F75" s="111"/>
      <c r="G75" s="111"/>
      <c r="H75" s="111"/>
    </row>
    <row r="76" spans="1:9" ht="30" x14ac:dyDescent="0.25">
      <c r="A76" s="86" t="s">
        <v>389</v>
      </c>
      <c r="B76" s="79">
        <v>4</v>
      </c>
      <c r="C76" s="79" t="s">
        <v>385</v>
      </c>
      <c r="D76" s="111"/>
      <c r="E76" s="111"/>
      <c r="F76" s="47" t="s">
        <v>390</v>
      </c>
      <c r="G76" s="111"/>
      <c r="H76" s="111"/>
    </row>
    <row r="77" spans="1:9" ht="30" x14ac:dyDescent="0.25">
      <c r="A77" s="79"/>
      <c r="B77" s="79" t="s">
        <v>387</v>
      </c>
      <c r="C77" s="79">
        <v>60</v>
      </c>
      <c r="D77" s="79">
        <v>40</v>
      </c>
      <c r="E77" s="79">
        <v>80</v>
      </c>
      <c r="F77" s="79">
        <v>100</v>
      </c>
      <c r="G77" s="111" t="s">
        <v>392</v>
      </c>
      <c r="H77" s="111"/>
      <c r="I77" s="111"/>
    </row>
    <row r="78" spans="1:9" ht="45" x14ac:dyDescent="0.25">
      <c r="A78" s="79" t="s">
        <v>388</v>
      </c>
      <c r="B78" s="81">
        <f>B76*0.9*8760</f>
        <v>31536</v>
      </c>
      <c r="C78" s="81" cm="1">
        <f t="array" aca="1" ref="C78" ca="1">SUM(B78*(1+$L$3)^ROW(INDIRECT("1:"&amp;$C$77)))</f>
        <v>4012973.9665920488</v>
      </c>
      <c r="D78" s="81"/>
      <c r="E78" s="81"/>
      <c r="F78" s="81"/>
      <c r="G78" s="111" t="s">
        <v>391</v>
      </c>
      <c r="H78" s="111" t="s">
        <v>393</v>
      </c>
      <c r="I78" s="111">
        <v>0.9</v>
      </c>
    </row>
    <row r="79" spans="1:9" ht="45" x14ac:dyDescent="0.25">
      <c r="A79" s="79" t="s">
        <v>443</v>
      </c>
      <c r="B79" s="81">
        <f>B78*AVERAGE(B69:D69)</f>
        <v>21204.403092109293</v>
      </c>
      <c r="C79" s="81">
        <f ca="1">C78*AVERAGE(B69:D69)*I78</f>
        <v>2428445.1365798665</v>
      </c>
      <c r="D79" s="81"/>
      <c r="E79" s="81"/>
      <c r="F79" s="81"/>
      <c r="G79" s="111"/>
      <c r="H79" s="111"/>
    </row>
    <row r="80" spans="1:9" x14ac:dyDescent="0.25">
      <c r="A80" s="79" t="s">
        <v>395</v>
      </c>
      <c r="B80" s="79"/>
      <c r="C80" s="82">
        <f ca="1">FV($L$1,C77,,-C79,1)</f>
        <v>3275608.5929333679</v>
      </c>
      <c r="D80" s="82">
        <f ca="1">FV($L$1,D77,,-C79,1)</f>
        <v>2964631.8263610806</v>
      </c>
      <c r="E80" s="82">
        <f ca="1">FV($L$1,E77,,-C79,1)</f>
        <v>3619205.4469269174</v>
      </c>
      <c r="F80" s="82">
        <f ca="1">FV($L$1,F77,,-C79,1)</f>
        <v>3998844.0912396642</v>
      </c>
      <c r="G80" s="111"/>
      <c r="H80" s="111"/>
    </row>
    <row r="81" spans="1:8" x14ac:dyDescent="0.25">
      <c r="A81" s="79" t="s">
        <v>380</v>
      </c>
      <c r="B81" s="79"/>
      <c r="C81" s="82">
        <f ca="1">PMT($L$3,C77,,-C80,1)</f>
        <v>25741.406110957651</v>
      </c>
      <c r="D81" s="82">
        <f t="shared" ref="D81:E81" ca="1" si="29">PMT($L$3,D77,,-D80,1)</f>
        <v>45454.918292187154</v>
      </c>
      <c r="E81" s="82">
        <f t="shared" ca="1" si="29"/>
        <v>16153.726281042838</v>
      </c>
      <c r="F81" s="82">
        <f ca="1">PMT($L$3,F77,,-F80,1)</f>
        <v>10660.725792150082</v>
      </c>
      <c r="G81" s="111"/>
      <c r="H81" s="111"/>
    </row>
  </sheetData>
  <mergeCells count="14">
    <mergeCell ref="K19:L19"/>
    <mergeCell ref="M19:N19"/>
    <mergeCell ref="A1:I1"/>
    <mergeCell ref="N1:P1"/>
    <mergeCell ref="K5:L5"/>
    <mergeCell ref="M5:N5"/>
    <mergeCell ref="A15:I15"/>
    <mergeCell ref="A64:D64"/>
    <mergeCell ref="A29:I29"/>
    <mergeCell ref="K32:L32"/>
    <mergeCell ref="M32:N32"/>
    <mergeCell ref="A43:I43"/>
    <mergeCell ref="K45:L45"/>
    <mergeCell ref="M45:N45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E214-3B04-4160-A373-3DC50DF4F6FF}">
  <sheetPr codeName="Sheet15"/>
  <dimension ref="A1:C4"/>
  <sheetViews>
    <sheetView zoomScale="115" zoomScaleNormal="115" workbookViewId="0">
      <selection activeCell="A11" sqref="A11"/>
    </sheetView>
  </sheetViews>
  <sheetFormatPr defaultRowHeight="15" x14ac:dyDescent="0.25"/>
  <cols>
    <col min="1" max="1" width="38.7109375" customWidth="1"/>
    <col min="2" max="3" width="11.7109375" customWidth="1"/>
  </cols>
  <sheetData>
    <row r="1" spans="1:3" x14ac:dyDescent="0.25">
      <c r="A1" s="231" t="s">
        <v>285</v>
      </c>
      <c r="B1" s="232"/>
    </row>
    <row r="2" spans="1:3" x14ac:dyDescent="0.25">
      <c r="A2" s="27" t="s">
        <v>11</v>
      </c>
      <c r="B2" s="28">
        <f>9953000</f>
        <v>9953000</v>
      </c>
      <c r="C2" s="28">
        <v>10441000</v>
      </c>
    </row>
    <row r="3" spans="1:3" x14ac:dyDescent="0.25">
      <c r="A3" s="27" t="s">
        <v>12</v>
      </c>
      <c r="B3" s="28">
        <f>12910000</f>
        <v>12910000</v>
      </c>
      <c r="C3" s="28">
        <v>13562000</v>
      </c>
    </row>
    <row r="4" spans="1:3" x14ac:dyDescent="0.25">
      <c r="A4" s="27" t="s">
        <v>13</v>
      </c>
      <c r="B4" s="28">
        <f>17641000</f>
        <v>17641000</v>
      </c>
      <c r="C4" s="28">
        <v>18556000</v>
      </c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55D5-D199-46A7-B6B0-91B909574350}">
  <sheetPr codeName="Sheet16"/>
  <dimension ref="A1:C1"/>
  <sheetViews>
    <sheetView zoomScale="85" zoomScaleNormal="85" workbookViewId="0">
      <selection activeCell="C1" sqref="C1"/>
    </sheetView>
  </sheetViews>
  <sheetFormatPr defaultRowHeight="15" x14ac:dyDescent="0.25"/>
  <cols>
    <col min="1" max="1" width="53.42578125" customWidth="1"/>
    <col min="2" max="3" width="11.7109375" customWidth="1"/>
  </cols>
  <sheetData>
    <row r="1" spans="1:3" x14ac:dyDescent="0.25">
      <c r="A1" s="5" t="s">
        <v>384</v>
      </c>
      <c r="B1" s="5">
        <v>0</v>
      </c>
      <c r="C1" t="s">
        <v>446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6452-1CF4-4980-920B-1578CA768139}">
  <sheetPr codeName="Sheet17"/>
  <dimension ref="A1:C3"/>
  <sheetViews>
    <sheetView zoomScaleNormal="100" workbookViewId="0">
      <selection activeCell="A27" sqref="A27"/>
    </sheetView>
  </sheetViews>
  <sheetFormatPr defaultRowHeight="15" x14ac:dyDescent="0.25"/>
  <cols>
    <col min="1" max="1" width="50.85546875" customWidth="1"/>
    <col min="2" max="3" width="12.7109375" customWidth="1"/>
  </cols>
  <sheetData>
    <row r="1" spans="1:3" x14ac:dyDescent="0.25">
      <c r="A1" s="5" t="s">
        <v>400</v>
      </c>
      <c r="B1" s="12">
        <v>5.0000000000000001E-3</v>
      </c>
      <c r="C1" s="63"/>
    </row>
    <row r="2" spans="1:3" x14ac:dyDescent="0.25">
      <c r="A2" s="5" t="s">
        <v>399</v>
      </c>
      <c r="B2" s="12">
        <v>0.02</v>
      </c>
      <c r="C2" s="63"/>
    </row>
    <row r="3" spans="1:3" x14ac:dyDescent="0.25">
      <c r="A3" s="5" t="s">
        <v>398</v>
      </c>
      <c r="B3" s="12">
        <v>1.7000000000000001E-2</v>
      </c>
      <c r="C3" s="6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469F-1232-4706-9CBC-825CF3355494}">
  <sheetPr codeName="Sheet18"/>
  <dimension ref="A1:B1"/>
  <sheetViews>
    <sheetView zoomScaleNormal="100" workbookViewId="0">
      <selection activeCell="C8" sqref="C8"/>
    </sheetView>
  </sheetViews>
  <sheetFormatPr defaultRowHeight="15" x14ac:dyDescent="0.25"/>
  <cols>
    <col min="1" max="1" width="38.28515625" bestFit="1" customWidth="1"/>
  </cols>
  <sheetData>
    <row r="1" spans="1:2" x14ac:dyDescent="0.25">
      <c r="A1" s="5" t="s">
        <v>268</v>
      </c>
      <c r="B1" s="8">
        <v>0.19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0781C-8034-44A0-985D-C0B3D43C54A2}">
  <sheetPr codeName="Sheet19"/>
  <dimension ref="A1:E12"/>
  <sheetViews>
    <sheetView zoomScale="70" zoomScaleNormal="70" workbookViewId="0">
      <selection activeCell="C20" sqref="C20"/>
    </sheetView>
  </sheetViews>
  <sheetFormatPr defaultRowHeight="15" x14ac:dyDescent="0.25"/>
  <cols>
    <col min="1" max="1" width="31.140625" customWidth="1"/>
    <col min="2" max="4" width="15.7109375" customWidth="1"/>
    <col min="6" max="6" width="28.7109375" bestFit="1" customWidth="1"/>
    <col min="7" max="8" width="12.7109375" customWidth="1"/>
  </cols>
  <sheetData>
    <row r="1" spans="1:5" x14ac:dyDescent="0.25">
      <c r="A1" s="25" t="s">
        <v>221</v>
      </c>
      <c r="B1" s="5" t="s">
        <v>31</v>
      </c>
      <c r="C1" s="5" t="s">
        <v>4</v>
      </c>
      <c r="D1" s="5" t="s">
        <v>32</v>
      </c>
    </row>
    <row r="2" spans="1:5" x14ac:dyDescent="0.25">
      <c r="A2" s="5" t="s">
        <v>28</v>
      </c>
      <c r="B2" s="14">
        <v>0.2</v>
      </c>
      <c r="C2" s="6">
        <v>59.5</v>
      </c>
      <c r="D2" s="10">
        <f>$B$5*C2</f>
        <v>7.5084552880657824</v>
      </c>
    </row>
    <row r="3" spans="1:5" x14ac:dyDescent="0.25">
      <c r="A3" s="5" t="s">
        <v>29</v>
      </c>
      <c r="B3" s="14">
        <v>0.6</v>
      </c>
      <c r="C3" s="6">
        <v>68</v>
      </c>
      <c r="D3" s="10">
        <f>$B$5*C3</f>
        <v>8.5810917577894656</v>
      </c>
    </row>
    <row r="4" spans="1:5" x14ac:dyDescent="0.25">
      <c r="A4" s="5" t="s">
        <v>30</v>
      </c>
      <c r="B4" s="14">
        <v>0.2</v>
      </c>
      <c r="C4" s="6">
        <v>96.5</v>
      </c>
      <c r="D4" s="10">
        <f>$B$5*C4</f>
        <v>12.177578744510051</v>
      </c>
      <c r="E4" t="s">
        <v>222</v>
      </c>
    </row>
    <row r="5" spans="1:5" x14ac:dyDescent="0.25">
      <c r="A5" s="5" t="s">
        <v>215</v>
      </c>
      <c r="B5" s="14">
        <v>0.12619252584984508</v>
      </c>
      <c r="D5" s="26">
        <f>C4+3*D4</f>
        <v>133.03273623353016</v>
      </c>
    </row>
    <row r="6" spans="1:5" x14ac:dyDescent="0.25">
      <c r="A6" s="5" t="s">
        <v>296</v>
      </c>
      <c r="B6" s="7">
        <v>0</v>
      </c>
    </row>
    <row r="7" spans="1:5" x14ac:dyDescent="0.25">
      <c r="A7" s="18" t="s">
        <v>223</v>
      </c>
      <c r="C7" t="s">
        <v>216</v>
      </c>
    </row>
    <row r="8" spans="1:5" x14ac:dyDescent="0.25">
      <c r="A8" s="5" t="s">
        <v>33</v>
      </c>
      <c r="B8" s="7">
        <f>1/15</f>
        <v>6.6666666666666666E-2</v>
      </c>
      <c r="C8" t="s">
        <v>397</v>
      </c>
    </row>
    <row r="9" spans="1:5" x14ac:dyDescent="0.25">
      <c r="A9" s="5" t="s">
        <v>217</v>
      </c>
    </row>
    <row r="10" spans="1:5" x14ac:dyDescent="0.25">
      <c r="A10" s="5" t="s">
        <v>218</v>
      </c>
      <c r="B10" s="6">
        <v>133.05623197541567</v>
      </c>
    </row>
    <row r="11" spans="1:5" x14ac:dyDescent="0.25">
      <c r="A11" s="5" t="s">
        <v>219</v>
      </c>
      <c r="B11" s="6">
        <v>233.46340084721126</v>
      </c>
    </row>
    <row r="12" spans="1:5" x14ac:dyDescent="0.25">
      <c r="A12" s="5" t="s">
        <v>220</v>
      </c>
      <c r="B12" s="6">
        <v>465.18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80F5E-E63B-4F95-9773-DE6137F359DD}">
  <sheetPr codeName="Sheet20"/>
  <dimension ref="A1:B1"/>
  <sheetViews>
    <sheetView workbookViewId="0">
      <selection activeCell="A56" sqref="A56"/>
    </sheetView>
  </sheetViews>
  <sheetFormatPr defaultRowHeight="15" x14ac:dyDescent="0.25"/>
  <cols>
    <col min="1" max="1" width="36.85546875" bestFit="1" customWidth="1"/>
    <col min="2" max="3" width="12.7109375" customWidth="1"/>
  </cols>
  <sheetData>
    <row r="1" spans="1:2" x14ac:dyDescent="0.25">
      <c r="A1" s="5" t="s">
        <v>27</v>
      </c>
      <c r="B1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Življenska doba JEK2</vt:lpstr>
      <vt:lpstr>Inštalirana kapaciteta</vt:lpstr>
      <vt:lpstr>Capacity factor</vt:lpstr>
      <vt:lpstr>CAPEX</vt:lpstr>
      <vt:lpstr>WACC</vt:lpstr>
      <vt:lpstr>Stroški nadgradnje na 80 let</vt:lpstr>
      <vt:lpstr>O&amp;M</vt:lpstr>
      <vt:lpstr>Fuel cost</vt:lpstr>
      <vt:lpstr>Extraordinary repairs</vt:lpstr>
      <vt:lpstr>Stroški odpadkov</vt:lpstr>
      <vt:lpstr>Stroški razgradnje</vt:lpstr>
      <vt:lpstr>Nadomestilo občini in voda</vt:lpstr>
      <vt:lpstr>NPP accident insurance premium</vt:lpstr>
      <vt:lpstr>Tveganja</vt:lpstr>
      <vt:lpstr>Ostale postavke</vt:lpstr>
      <vt:lpstr>Cena elektrike</vt:lpstr>
      <vt:lpstr>Potrdila o izvoru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Izidor Ostan Ožbolt</dc:creator>
  <cp:lastModifiedBy>Izidor Ostan Ožbolt</cp:lastModifiedBy>
  <dcterms:created xsi:type="dcterms:W3CDTF">2024-10-20T09:14:35Z</dcterms:created>
  <dcterms:modified xsi:type="dcterms:W3CDTF">2026-03-01T22:29:11Z</dcterms:modified>
</cp:coreProperties>
</file>